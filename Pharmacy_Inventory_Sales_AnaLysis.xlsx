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63B8C09-5C33-470C-A084-1E06524C3690}" xr6:coauthVersionLast="47" xr6:coauthVersionMax="47" xr10:uidLastSave="{00000000-0000-0000-0000-000000000000}"/>
  <bookViews>
    <workbookView xWindow="-108" yWindow="-108" windowWidth="23256" windowHeight="12456" activeTab="1" xr2:uid="{937DBB62-1C4C-489D-84FB-FA3DBBEF77AA}"/>
  </bookViews>
  <sheets>
    <sheet name="Raw Data " sheetId="1" r:id="rId1"/>
    <sheet name="Inventory Sales" sheetId="2" r:id="rId2"/>
    <sheet name="Dashboard" sheetId="3" r:id="rId3"/>
    <sheet name="Pivot Table" sheetId="5" r:id="rId4"/>
  </sheets>
  <definedNames>
    <definedName name="_xlnm._FilterDatabase" localSheetId="2" hidden="1">Dashboard!$L$3:$M$15</definedName>
    <definedName name="_xlnm._FilterDatabase" localSheetId="1" hidden="1">'Inventory Sales'!$A$1:$A$31</definedName>
  </definedNames>
  <calcPr calcId="191029"/>
  <pivotCaches>
    <pivotCache cacheId="4" r:id="rId5"/>
    <pivotCache cacheId="1" r:id="rId6"/>
    <pivotCache cacheId="2" r:id="rId7"/>
    <pivotCache cacheId="17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2" l="1"/>
  <c r="H2" i="2"/>
  <c r="G2" i="2"/>
  <c r="G5" i="2"/>
  <c r="G3" i="2"/>
  <c r="G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D3" i="2"/>
  <c r="F3" i="2" s="1"/>
  <c r="D4" i="2"/>
  <c r="F4" i="2" s="1"/>
  <c r="D5" i="2"/>
  <c r="F5" i="2" s="1"/>
  <c r="D6" i="2"/>
  <c r="F6" i="2" s="1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F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2" i="2"/>
  <c r="F2" i="2" s="1"/>
  <c r="B2" i="2"/>
  <c r="J2" i="2"/>
  <c r="K2" i="2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H3" i="2"/>
  <c r="H4" i="2"/>
  <c r="O4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E7" i="2"/>
  <c r="H3" i="3" l="1"/>
  <c r="P2" i="2"/>
  <c r="O31" i="2"/>
  <c r="E31" i="2"/>
  <c r="O30" i="2"/>
  <c r="E30" i="2"/>
  <c r="O29" i="2"/>
  <c r="E29" i="2"/>
  <c r="O28" i="2"/>
  <c r="E28" i="2"/>
  <c r="O27" i="2"/>
  <c r="E27" i="2"/>
  <c r="O26" i="2"/>
  <c r="E26" i="2"/>
  <c r="O25" i="2"/>
  <c r="E25" i="2"/>
  <c r="O24" i="2"/>
  <c r="E24" i="2"/>
  <c r="O23" i="2"/>
  <c r="E23" i="2"/>
  <c r="O22" i="2"/>
  <c r="E22" i="2"/>
  <c r="O21" i="2"/>
  <c r="E21" i="2"/>
  <c r="O20" i="2"/>
  <c r="E20" i="2"/>
  <c r="O19" i="2"/>
  <c r="E19" i="2"/>
  <c r="O18" i="2"/>
  <c r="E18" i="2"/>
  <c r="O17" i="2"/>
  <c r="E17" i="2"/>
  <c r="O16" i="2"/>
  <c r="E16" i="2"/>
  <c r="O15" i="2"/>
  <c r="E15" i="2"/>
  <c r="O14" i="2"/>
  <c r="E14" i="2"/>
  <c r="O13" i="2"/>
  <c r="E13" i="2"/>
  <c r="O12" i="2"/>
  <c r="E12" i="2"/>
  <c r="O11" i="2"/>
  <c r="E11" i="2"/>
  <c r="O10" i="2"/>
  <c r="E10" i="2"/>
  <c r="O9" i="2"/>
  <c r="E9" i="2"/>
  <c r="O8" i="2"/>
  <c r="E8" i="2"/>
  <c r="Q6" i="3" s="1"/>
  <c r="O7" i="2"/>
  <c r="F3" i="3" s="1"/>
  <c r="O6" i="2"/>
  <c r="E6" i="2"/>
  <c r="O5" i="2"/>
  <c r="E5" i="2"/>
  <c r="O3" i="2"/>
  <c r="E3" i="2"/>
  <c r="O2" i="2"/>
  <c r="E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E4" i="2"/>
  <c r="P3" i="2"/>
  <c r="I2" i="2"/>
  <c r="K31" i="2"/>
  <c r="I31" i="2"/>
  <c r="K30" i="2"/>
  <c r="I30" i="2"/>
  <c r="K29" i="2"/>
  <c r="I29" i="2"/>
  <c r="K28" i="2"/>
  <c r="I28" i="2"/>
  <c r="K27" i="2"/>
  <c r="I27" i="2"/>
  <c r="K26" i="2"/>
  <c r="I26" i="2"/>
  <c r="K25" i="2"/>
  <c r="I25" i="2"/>
  <c r="K24" i="2"/>
  <c r="I24" i="2"/>
  <c r="K23" i="2"/>
  <c r="I23" i="2"/>
  <c r="K22" i="2"/>
  <c r="I22" i="2"/>
  <c r="K21" i="2"/>
  <c r="I21" i="2"/>
  <c r="K20" i="2"/>
  <c r="M13" i="3" s="1"/>
  <c r="I20" i="2"/>
  <c r="K19" i="2"/>
  <c r="I19" i="2"/>
  <c r="K18" i="2"/>
  <c r="I18" i="2"/>
  <c r="K17" i="2"/>
  <c r="M11" i="3" s="1"/>
  <c r="I17" i="2"/>
  <c r="K16" i="2"/>
  <c r="I16" i="2"/>
  <c r="K15" i="2"/>
  <c r="I15" i="2"/>
  <c r="K14" i="2"/>
  <c r="I14" i="2"/>
  <c r="K13" i="2"/>
  <c r="M15" i="3" s="1"/>
  <c r="I13" i="2"/>
  <c r="K12" i="2"/>
  <c r="I12" i="2"/>
  <c r="K11" i="2"/>
  <c r="I11" i="2"/>
  <c r="K10" i="2"/>
  <c r="M6" i="3" s="1"/>
  <c r="I10" i="2"/>
  <c r="K9" i="2"/>
  <c r="M14" i="3" s="1"/>
  <c r="I9" i="2"/>
  <c r="K8" i="2"/>
  <c r="I8" i="2"/>
  <c r="K7" i="2"/>
  <c r="M12" i="3" s="1"/>
  <c r="I7" i="2"/>
  <c r="K6" i="2"/>
  <c r="M10" i="3" s="1"/>
  <c r="I6" i="2"/>
  <c r="K5" i="2"/>
  <c r="I5" i="2"/>
  <c r="K4" i="2"/>
  <c r="I4" i="2"/>
  <c r="K3" i="2"/>
  <c r="I3" i="2"/>
  <c r="L2" i="2"/>
  <c r="M2" i="2" s="1"/>
  <c r="L31" i="2"/>
  <c r="M31" i="2" s="1"/>
  <c r="N31" i="2" s="1"/>
  <c r="L30" i="2"/>
  <c r="M30" i="2" s="1"/>
  <c r="N30" i="2" s="1"/>
  <c r="L29" i="2"/>
  <c r="M29" i="2" s="1"/>
  <c r="N29" i="2" s="1"/>
  <c r="L28" i="2"/>
  <c r="M28" i="2" s="1"/>
  <c r="N28" i="2" s="1"/>
  <c r="L27" i="2"/>
  <c r="M27" i="2" s="1"/>
  <c r="N27" i="2" s="1"/>
  <c r="L26" i="2"/>
  <c r="M26" i="2" s="1"/>
  <c r="N26" i="2" s="1"/>
  <c r="L25" i="2"/>
  <c r="M25" i="2" s="1"/>
  <c r="N25" i="2" s="1"/>
  <c r="L24" i="2"/>
  <c r="M24" i="2" s="1"/>
  <c r="N24" i="2" s="1"/>
  <c r="L23" i="2"/>
  <c r="M23" i="2" s="1"/>
  <c r="N23" i="2" s="1"/>
  <c r="L22" i="2"/>
  <c r="M22" i="2" s="1"/>
  <c r="N22" i="2" s="1"/>
  <c r="L21" i="2"/>
  <c r="M21" i="2" s="1"/>
  <c r="N21" i="2" s="1"/>
  <c r="L20" i="2"/>
  <c r="M20" i="2" s="1"/>
  <c r="N20" i="2" s="1"/>
  <c r="L19" i="2"/>
  <c r="M19" i="2" s="1"/>
  <c r="N19" i="2" s="1"/>
  <c r="L18" i="2"/>
  <c r="M18" i="2" s="1"/>
  <c r="N18" i="2" s="1"/>
  <c r="L17" i="2"/>
  <c r="M17" i="2" s="1"/>
  <c r="N17" i="2" s="1"/>
  <c r="L16" i="2"/>
  <c r="M16" i="2" s="1"/>
  <c r="N16" i="2" s="1"/>
  <c r="L15" i="2"/>
  <c r="M15" i="2" s="1"/>
  <c r="N15" i="2" s="1"/>
  <c r="L14" i="2"/>
  <c r="M14" i="2" s="1"/>
  <c r="N14" i="2" s="1"/>
  <c r="L13" i="2"/>
  <c r="M13" i="2" s="1"/>
  <c r="N13" i="2" s="1"/>
  <c r="L12" i="2"/>
  <c r="M12" i="2" s="1"/>
  <c r="N12" i="2" s="1"/>
  <c r="L11" i="2"/>
  <c r="M11" i="2" s="1"/>
  <c r="N11" i="2" s="1"/>
  <c r="L10" i="2"/>
  <c r="M10" i="2" s="1"/>
  <c r="N10" i="2" s="1"/>
  <c r="L9" i="2"/>
  <c r="M9" i="2" s="1"/>
  <c r="N9" i="2" s="1"/>
  <c r="L8" i="2"/>
  <c r="M8" i="2" s="1"/>
  <c r="N8" i="2" s="1"/>
  <c r="L7" i="2"/>
  <c r="M7" i="2" s="1"/>
  <c r="L6" i="2"/>
  <c r="M6" i="2" s="1"/>
  <c r="N6" i="2" s="1"/>
  <c r="L5" i="2"/>
  <c r="M5" i="2" s="1"/>
  <c r="N5" i="2" s="1"/>
  <c r="L4" i="2"/>
  <c r="M4" i="2" s="1"/>
  <c r="N4" i="2" s="1"/>
  <c r="L3" i="2"/>
  <c r="M3" i="2" s="1"/>
  <c r="N3" i="2" s="1"/>
  <c r="D3" i="3" l="1"/>
  <c r="M9" i="3"/>
  <c r="N2" i="2"/>
  <c r="B3" i="3"/>
  <c r="Q2" i="2"/>
  <c r="Q4" i="2"/>
  <c r="Q5" i="2"/>
  <c r="N7" i="2"/>
  <c r="M5" i="3"/>
  <c r="M7" i="3"/>
  <c r="M4" i="3"/>
  <c r="M8" i="3"/>
  <c r="J3" i="3"/>
  <c r="Q4" i="3"/>
  <c r="Q5" i="3"/>
  <c r="Q31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</calcChain>
</file>

<file path=xl/sharedStrings.xml><?xml version="1.0" encoding="utf-8"?>
<sst xmlns="http://schemas.openxmlformats.org/spreadsheetml/2006/main" count="1661" uniqueCount="95">
  <si>
    <t>Medicine</t>
  </si>
  <si>
    <t>Category</t>
  </si>
  <si>
    <t>Supplier</t>
  </si>
  <si>
    <t>Purchase Price</t>
  </si>
  <si>
    <t>Current Stock</t>
  </si>
  <si>
    <t>Reorder Level</t>
  </si>
  <si>
    <t>Expiry Date</t>
  </si>
  <si>
    <t>Date</t>
  </si>
  <si>
    <t>Selling Price</t>
  </si>
  <si>
    <t>Quantity Sold</t>
  </si>
  <si>
    <t>Ibuprofen 400mg</t>
  </si>
  <si>
    <t>Analgesic</t>
  </si>
  <si>
    <t>CarePlus Pharma</t>
  </si>
  <si>
    <t>Loperamide 2mg</t>
  </si>
  <si>
    <t>Gastrointestinal</t>
  </si>
  <si>
    <t>Medico Supply Co.</t>
  </si>
  <si>
    <t>Loratadine 10mg</t>
  </si>
  <si>
    <t>Allergy</t>
  </si>
  <si>
    <t>Ferrous Sulfate 325mg</t>
  </si>
  <si>
    <t>Supplements</t>
  </si>
  <si>
    <t>Nile Medical Trading</t>
  </si>
  <si>
    <t>Metformin 500mg</t>
  </si>
  <si>
    <t>Diabetes</t>
  </si>
  <si>
    <t>Timolol Eye Drops</t>
  </si>
  <si>
    <t>Ophthalmic</t>
  </si>
  <si>
    <t>Diclofenac 50mg</t>
  </si>
  <si>
    <t>PrimeMed Supplies</t>
  </si>
  <si>
    <t>Cefixime 200mg</t>
  </si>
  <si>
    <t>Antibiotic</t>
  </si>
  <si>
    <t>Atorvastatin 20mg</t>
  </si>
  <si>
    <t>Cardiovascular</t>
  </si>
  <si>
    <t>Wellness Distribution</t>
  </si>
  <si>
    <t>Glimepiride 2mg</t>
  </si>
  <si>
    <t>Paracetamol 500mg</t>
  </si>
  <si>
    <t>HealthLine Distributors</t>
  </si>
  <si>
    <t>Multivitamin Tablets</t>
  </si>
  <si>
    <t>Vitamins</t>
  </si>
  <si>
    <t>Artificial Tears</t>
  </si>
  <si>
    <t>Azithromycin 500mg</t>
  </si>
  <si>
    <t>Pantoprazole 40mg</t>
  </si>
  <si>
    <t>Clotrimazole Cream 1%</t>
  </si>
  <si>
    <t>Dermatology</t>
  </si>
  <si>
    <t>Cough Syrup 100ml</t>
  </si>
  <si>
    <t>Respiratory</t>
  </si>
  <si>
    <t>Vitamin D3 1000IU</t>
  </si>
  <si>
    <t>Oral Rehydration Salts</t>
  </si>
  <si>
    <t>Hydration</t>
  </si>
  <si>
    <t>Salbutamol Inhaler</t>
  </si>
  <si>
    <t>Montelukast 10mg</t>
  </si>
  <si>
    <t>GulfCare Medical</t>
  </si>
  <si>
    <t>Cetirizine 10mg</t>
  </si>
  <si>
    <t>Amoxicillin 500mg</t>
  </si>
  <si>
    <t>Omeprazole 20mg</t>
  </si>
  <si>
    <t>Amlodipine 5mg</t>
  </si>
  <si>
    <t>Vitamin C 500mg</t>
  </si>
  <si>
    <t>Mupirocin Ointment 2%</t>
  </si>
  <si>
    <t>Hydrocortisone Cream 1%</t>
  </si>
  <si>
    <t>Calcium Carbonate 500mg</t>
  </si>
  <si>
    <t>Losartan 50mg</t>
  </si>
  <si>
    <t xml:space="preserve">Reorder Level </t>
  </si>
  <si>
    <t xml:space="preserve">Stock Status </t>
  </si>
  <si>
    <t xml:space="preserve">Stock Difference </t>
  </si>
  <si>
    <t xml:space="preserve">Purchase Price </t>
  </si>
  <si>
    <t xml:space="preserve">Quantity Sold </t>
  </si>
  <si>
    <t>Total Purchase Cost</t>
  </si>
  <si>
    <t>Total Sales Revenue</t>
  </si>
  <si>
    <t xml:space="preserve">Profit Per Unit </t>
  </si>
  <si>
    <t>Total Profit</t>
  </si>
  <si>
    <t>Profit Margin %</t>
  </si>
  <si>
    <t>Inventory Value</t>
  </si>
  <si>
    <t>Reorder Quantity</t>
  </si>
  <si>
    <t>Sales Contribution %</t>
  </si>
  <si>
    <t>Total Units Sold</t>
  </si>
  <si>
    <t>Out Of Stock</t>
  </si>
  <si>
    <t>Medicines Needing Reorder</t>
  </si>
  <si>
    <t>Sales Revenue By Category</t>
  </si>
  <si>
    <t>Inventory Status</t>
  </si>
  <si>
    <t>Revenue</t>
  </si>
  <si>
    <t>Status</t>
  </si>
  <si>
    <t>Number Of Medicine</t>
  </si>
  <si>
    <t xml:space="preserve">Top 5 Medicines By Quantity Sold </t>
  </si>
  <si>
    <t>1. Paracetamol 500mg</t>
  </si>
  <si>
    <t>2. Vitamin C 500mg</t>
  </si>
  <si>
    <t>3. Omeprazole 20mg</t>
  </si>
  <si>
    <t>4. Amlodipine 5mg</t>
  </si>
  <si>
    <t>5. Atorvastatin 20mg</t>
  </si>
  <si>
    <t>Sufficient Stock</t>
  </si>
  <si>
    <t>Reorder Soon</t>
  </si>
  <si>
    <t>PHARMACY INVENTORY &amp; SALES DASHBOARD</t>
  </si>
  <si>
    <t>Row Labels</t>
  </si>
  <si>
    <t>Grand Total</t>
  </si>
  <si>
    <t>Sum of Quantity Sold</t>
  </si>
  <si>
    <t>Sum of Number Of Medicine</t>
  </si>
  <si>
    <t>Sum of Total Profit</t>
  </si>
  <si>
    <t>Sum of Total Sales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</si>
</sst>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DBDB"/>
        <bgColor rgb="FFDBDBDB"/>
      </patternFill>
    </fill>
    <fill>
      <patternFill patternType="solid">
        <fgColor rgb="FFEDEDED"/>
        <bgColor rgb="FFEDEDED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1" fillId="0" borderId="1" xfId="0" applyFont="1" applyBorder="1"/>
    <xf numFmtId="44" fontId="1" fillId="0" borderId="1" xfId="1" applyFont="1" applyBorder="1"/>
    <xf numFmtId="44" fontId="0" fillId="0" borderId="1" xfId="0" applyNumberFormat="1" applyBorder="1"/>
    <xf numFmtId="44" fontId="0" fillId="0" borderId="1" xfId="1" applyFont="1" applyBorder="1"/>
    <xf numFmtId="9" fontId="0" fillId="0" borderId="1" xfId="2" applyFont="1" applyBorder="1"/>
    <xf numFmtId="0" fontId="0" fillId="0" borderId="1" xfId="0" applyBorder="1"/>
    <xf numFmtId="44" fontId="0" fillId="0" borderId="0" xfId="0" applyNumberFormat="1"/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4" fontId="0" fillId="0" borderId="5" xfId="1" applyFont="1" applyBorder="1" applyAlignment="1">
      <alignment horizontal="center"/>
    </xf>
    <xf numFmtId="1" fontId="0" fillId="0" borderId="1" xfId="0" applyNumberFormat="1" applyBorder="1"/>
    <xf numFmtId="14" fontId="0" fillId="0" borderId="8" xfId="0" applyNumberFormat="1" applyBorder="1"/>
    <xf numFmtId="22" fontId="0" fillId="0" borderId="2" xfId="0" applyNumberFormat="1" applyBorder="1"/>
    <xf numFmtId="0" fontId="2" fillId="0" borderId="6" xfId="0" applyFont="1" applyBorder="1"/>
    <xf numFmtId="0" fontId="2" fillId="0" borderId="9" xfId="0" applyFont="1" applyBorder="1"/>
    <xf numFmtId="0" fontId="2" fillId="0" borderId="3" xfId="0" applyFont="1" applyBorder="1"/>
    <xf numFmtId="14" fontId="0" fillId="0" borderId="5" xfId="0" applyNumberFormat="1" applyBorder="1"/>
    <xf numFmtId="0" fontId="0" fillId="0" borderId="10" xfId="0" applyBorder="1"/>
    <xf numFmtId="44" fontId="0" fillId="0" borderId="10" xfId="1" applyFont="1" applyBorder="1"/>
    <xf numFmtId="1" fontId="0" fillId="0" borderId="10" xfId="0" applyNumberFormat="1" applyBorder="1"/>
    <xf numFmtId="22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44" fontId="0" fillId="0" borderId="0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8" xfId="0" applyFont="1" applyBorder="1"/>
    <xf numFmtId="9" fontId="0" fillId="0" borderId="2" xfId="2" applyFont="1" applyBorder="1"/>
    <xf numFmtId="0" fontId="3" fillId="0" borderId="6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5" xfId="0" applyFont="1" applyBorder="1"/>
    <xf numFmtId="0" fontId="1" fillId="0" borderId="10" xfId="0" applyFont="1" applyBorder="1"/>
    <xf numFmtId="44" fontId="1" fillId="0" borderId="10" xfId="1" applyFont="1" applyBorder="1"/>
    <xf numFmtId="44" fontId="0" fillId="0" borderId="10" xfId="0" applyNumberFormat="1" applyBorder="1"/>
    <xf numFmtId="9" fontId="0" fillId="0" borderId="10" xfId="2" applyFont="1" applyBorder="1"/>
    <xf numFmtId="9" fontId="0" fillId="0" borderId="4" xfId="2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6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4" fontId="7" fillId="0" borderId="2" xfId="0" applyNumberFormat="1" applyFont="1" applyBorder="1" applyAlignment="1">
      <alignment horizontal="center"/>
    </xf>
    <xf numFmtId="44" fontId="7" fillId="0" borderId="8" xfId="0" applyNumberFormat="1" applyFont="1" applyBorder="1" applyAlignment="1">
      <alignment horizontal="center"/>
    </xf>
    <xf numFmtId="44" fontId="7" fillId="0" borderId="1" xfId="0" applyNumberFormat="1" applyFont="1" applyBorder="1" applyAlignment="1">
      <alignment horizontal="center"/>
    </xf>
    <xf numFmtId="0" fontId="0" fillId="0" borderId="0" xfId="0" applyNumberFormat="1"/>
    <xf numFmtId="44" fontId="1" fillId="2" borderId="1" xfId="1" applyFont="1" applyFill="1" applyBorder="1"/>
    <xf numFmtId="44" fontId="1" fillId="3" borderId="1" xfId="1" applyFont="1" applyFill="1" applyBorder="1"/>
    <xf numFmtId="0" fontId="1" fillId="0" borderId="0" xfId="0" applyFont="1" applyBorder="1"/>
    <xf numFmtId="0" fontId="0" fillId="0" borderId="0" xfId="0" applyBorder="1"/>
    <xf numFmtId="2" fontId="0" fillId="0" borderId="0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numFmt numFmtId="27" formatCode="m/d/yyyy\ h: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 sz="1600" b="1" i="0" u="sng">
                <a:solidFill>
                  <a:schemeClr val="tx1"/>
                </a:solidFill>
              </a:rPr>
              <a:t>TOP</a:t>
            </a:r>
            <a:r>
              <a:rPr lang="en-US" sz="1600" b="1" i="0" u="sng" baseline="0">
                <a:solidFill>
                  <a:schemeClr val="tx1"/>
                </a:solidFill>
              </a:rPr>
              <a:t> 5 MEDICINES BY QUANTITY SOLD</a:t>
            </a:r>
            <a:endParaRPr lang="en-US" sz="1600" b="1" i="0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62707319902028"/>
          <c:y val="4.05036564608154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130287648054143E-2"/>
          <c:y val="0.16245370370370371"/>
          <c:w val="0.52438913092716199"/>
          <c:h val="0.7208876494604841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Dashboard!$O$3</c:f>
              <c:strCache>
                <c:ptCount val="1"/>
                <c:pt idx="0">
                  <c:v>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Dashboard!$N$4:$N$8</c:f>
              <c:strCache>
                <c:ptCount val="5"/>
                <c:pt idx="0">
                  <c:v>1. Paracetamol 500mg</c:v>
                </c:pt>
                <c:pt idx="1">
                  <c:v>2. Vitamin C 500mg</c:v>
                </c:pt>
                <c:pt idx="2">
                  <c:v>3. Omeprazole 20mg</c:v>
                </c:pt>
                <c:pt idx="3">
                  <c:v>4. Amlodipine 5mg</c:v>
                </c:pt>
                <c:pt idx="4">
                  <c:v>5. Atorvastatin 20mg</c:v>
                </c:pt>
              </c:strCache>
            </c:strRef>
          </c:cat>
          <c:val>
            <c:numRef>
              <c:f>Dashboard!$O$4:$O$8</c:f>
              <c:numCache>
                <c:formatCode>General</c:formatCode>
                <c:ptCount val="5"/>
                <c:pt idx="0">
                  <c:v>39</c:v>
                </c:pt>
                <c:pt idx="1">
                  <c:v>37</c:v>
                </c:pt>
                <c:pt idx="2">
                  <c:v>34</c:v>
                </c:pt>
                <c:pt idx="3">
                  <c:v>27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0-4968-B4BB-B1EBF2CD7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8308400"/>
        <c:axId val="308317760"/>
      </c:barChart>
      <c:catAx>
        <c:axId val="3083084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17760"/>
        <c:crosses val="autoZero"/>
        <c:auto val="1"/>
        <c:lblAlgn val="ctr"/>
        <c:lblOffset val="100"/>
        <c:noMultiLvlLbl val="0"/>
      </c:catAx>
      <c:valAx>
        <c:axId val="308317760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0840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cap="all" spc="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Inventory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cap="all" spc="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Dashboard!$Q$3</c:f>
              <c:strCache>
                <c:ptCount val="1"/>
                <c:pt idx="0">
                  <c:v>Number Of Medicine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05-415A-B286-72121C43DC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05-415A-B286-72121C43DC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05-415A-B286-72121C43DC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Dashboard!$P$4:$P$6</c:f>
              <c:strCache>
                <c:ptCount val="3"/>
                <c:pt idx="0">
                  <c:v>Sufficient Stock</c:v>
                </c:pt>
                <c:pt idx="1">
                  <c:v>Reorder Soon</c:v>
                </c:pt>
                <c:pt idx="2">
                  <c:v>Out Of Stock</c:v>
                </c:pt>
              </c:strCache>
            </c:strRef>
          </c:cat>
          <c:val>
            <c:numRef>
              <c:f>Dashboard!$Q$4:$Q$6</c:f>
              <c:numCache>
                <c:formatCode>General</c:formatCode>
                <c:ptCount val="3"/>
                <c:pt idx="0">
                  <c:v>17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3-431B-A481-811E51007D1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i="0" u="sng">
                <a:solidFill>
                  <a:schemeClr val="tx1"/>
                </a:solidFill>
              </a:rPr>
              <a:t>SALES</a:t>
            </a:r>
            <a:r>
              <a:rPr lang="en-US" b="1" i="0" u="sng" baseline="0">
                <a:solidFill>
                  <a:schemeClr val="tx1"/>
                </a:solidFill>
              </a:rPr>
              <a:t> REVENUE BY CATEGORY</a:t>
            </a:r>
            <a:endParaRPr lang="en-US" b="1" i="0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0864309521666"/>
          <c:y val="2.5993882227245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Dashboard!$M$3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Dashboard!$L$4:$L$15</c:f>
              <c:strCache>
                <c:ptCount val="12"/>
                <c:pt idx="0">
                  <c:v>Antibiotic</c:v>
                </c:pt>
                <c:pt idx="1">
                  <c:v>Respiratory</c:v>
                </c:pt>
                <c:pt idx="2">
                  <c:v>Gastrointestinal</c:v>
                </c:pt>
                <c:pt idx="3">
                  <c:v>Analgesic</c:v>
                </c:pt>
                <c:pt idx="4">
                  <c:v>Vitamins</c:v>
                </c:pt>
                <c:pt idx="5">
                  <c:v>Ophthalmic</c:v>
                </c:pt>
                <c:pt idx="6">
                  <c:v>Dermatology</c:v>
                </c:pt>
                <c:pt idx="7">
                  <c:v>Cardiovascular</c:v>
                </c:pt>
                <c:pt idx="8">
                  <c:v>Diabetes</c:v>
                </c:pt>
                <c:pt idx="9">
                  <c:v>Allergy</c:v>
                </c:pt>
                <c:pt idx="10">
                  <c:v>Supplements</c:v>
                </c:pt>
                <c:pt idx="11">
                  <c:v>Hydration</c:v>
                </c:pt>
              </c:strCache>
            </c:strRef>
          </c:cat>
          <c:val>
            <c:numRef>
              <c:f>Dashboard!$M$4:$M$15</c:f>
              <c:numCache>
                <c:formatCode>_("$"* #,##0.00_);_("$"* \(#,##0.00\);_("$"* "-"??_);_(@_)</c:formatCode>
                <c:ptCount val="12"/>
                <c:pt idx="0">
                  <c:v>3495.67</c:v>
                </c:pt>
                <c:pt idx="1">
                  <c:v>3014.43</c:v>
                </c:pt>
                <c:pt idx="2">
                  <c:v>2958.0699999999997</c:v>
                </c:pt>
                <c:pt idx="3">
                  <c:v>2764.54</c:v>
                </c:pt>
                <c:pt idx="4">
                  <c:v>2327.73</c:v>
                </c:pt>
                <c:pt idx="5">
                  <c:v>1069.75</c:v>
                </c:pt>
                <c:pt idx="6">
                  <c:v>983.41999999999985</c:v>
                </c:pt>
                <c:pt idx="7">
                  <c:v>782.2</c:v>
                </c:pt>
                <c:pt idx="8">
                  <c:v>359.34000000000003</c:v>
                </c:pt>
                <c:pt idx="9">
                  <c:v>316.25</c:v>
                </c:pt>
                <c:pt idx="10">
                  <c:v>295.28999999999996</c:v>
                </c:pt>
                <c:pt idx="11">
                  <c:v>161.47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C-4143-AA05-898CCABD8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8253312"/>
        <c:axId val="738247912"/>
        <c:axId val="0"/>
      </c:bar3DChart>
      <c:catAx>
        <c:axId val="7382533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47912"/>
        <c:crosses val="autoZero"/>
        <c:auto val="1"/>
        <c:lblAlgn val="ctr"/>
        <c:lblOffset val="100"/>
        <c:noMultiLvlLbl val="0"/>
      </c:catAx>
      <c:valAx>
        <c:axId val="7382479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25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16009</xdr:colOff>
      <xdr:row>20</xdr:row>
      <xdr:rowOff>33938</xdr:rowOff>
    </xdr:from>
    <xdr:to>
      <xdr:col>7</xdr:col>
      <xdr:colOff>893270</xdr:colOff>
      <xdr:row>37</xdr:row>
      <xdr:rowOff>51867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EAD050-39DF-EFA8-962C-596835C10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816428</xdr:colOff>
      <xdr:row>20</xdr:row>
      <xdr:rowOff>46743</xdr:rowOff>
    </xdr:from>
    <xdr:to>
      <xdr:col>10</xdr:col>
      <xdr:colOff>21771</xdr:colOff>
      <xdr:row>37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F7060A9-129A-514E-730D-D858B03AE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10887</xdr:colOff>
      <xdr:row>4</xdr:row>
      <xdr:rowOff>0</xdr:rowOff>
    </xdr:from>
    <xdr:to>
      <xdr:col>10</xdr:col>
      <xdr:colOff>13449</xdr:colOff>
      <xdr:row>20</xdr:row>
      <xdr:rowOff>62753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8939A-72FF-E06D-89C3-01CDDBDD6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9.507662037038" createdVersion="8" refreshedVersion="8" minRefreshableVersion="3" recordCount="500" xr:uid="{4F31B136-EC5C-4B39-8266-6A57275370D6}">
  <cacheSource type="worksheet">
    <worksheetSource name="Table1"/>
  </cacheSource>
  <cacheFields count="10">
    <cacheField name="Date" numFmtId="14">
      <sharedItems containsSemiMixedTypes="0" containsNonDate="0" containsDate="1" containsString="0" minDate="2026-01-01T00:00:00" maxDate="2026-10-01T00:00:00"/>
    </cacheField>
    <cacheField name="Medicine" numFmtId="0">
      <sharedItems count="30">
        <s v="Ibuprofen 400mg"/>
        <s v="Loperamide 2mg"/>
        <s v="Loratadine 10mg"/>
        <s v="Ferrous Sulfate 325mg"/>
        <s v="Metformin 500mg"/>
        <s v="Timolol Eye Drops"/>
        <s v="Diclofenac 50mg"/>
        <s v="Cefixime 200mg"/>
        <s v="Atorvastatin 20mg"/>
        <s v="Glimepiride 2mg"/>
        <s v="Paracetamol 500mg"/>
        <s v="Multivitamin Tablets"/>
        <s v="Artificial Tears"/>
        <s v="Azithromycin 500mg"/>
        <s v="Pantoprazole 40mg"/>
        <s v="Clotrimazole Cream 1%"/>
        <s v="Cough Syrup 100ml"/>
        <s v="Vitamin D3 1000IU"/>
        <s v="Oral Rehydration Salts"/>
        <s v="Salbutamol Inhaler"/>
        <s v="Montelukast 10mg"/>
        <s v="Cetirizine 10mg"/>
        <s v="Amoxicillin 500mg"/>
        <s v="Omeprazole 20mg"/>
        <s v="Amlodipine 5mg"/>
        <s v="Vitamin C 500mg"/>
        <s v="Mupirocin Ointment 2%"/>
        <s v="Hydrocortisone Cream 1%"/>
        <s v="Calcium Carbonate 500mg"/>
        <s v="Losartan 50mg"/>
      </sharedItems>
    </cacheField>
    <cacheField name="Category" numFmtId="0">
      <sharedItems count="12">
        <s v="Analgesic"/>
        <s v="Gastrointestinal"/>
        <s v="Allergy"/>
        <s v="Supplements"/>
        <s v="Diabetes"/>
        <s v="Ophthalmic"/>
        <s v="Antibiotic"/>
        <s v="Cardiovascular"/>
        <s v="Vitamins"/>
        <s v="Dermatology"/>
        <s v="Respiratory"/>
        <s v="Hydration"/>
      </sharedItems>
    </cacheField>
    <cacheField name="Supplier" numFmtId="0">
      <sharedItems count="7">
        <s v="CarePlus Pharma"/>
        <s v="Medico Supply Co."/>
        <s v="Nile Medical Trading"/>
        <s v="PrimeMed Supplies"/>
        <s v="Wellness Distribution"/>
        <s v="HealthLine Distributors"/>
        <s v="GulfCare Medical"/>
      </sharedItems>
    </cacheField>
    <cacheField name="Purchase Price" numFmtId="44">
      <sharedItems containsSemiMixedTypes="0" containsString="0" containsNumber="1" minValue="0.38" maxValue="4.8099999999999996"/>
    </cacheField>
    <cacheField name="Selling Price" numFmtId="44">
      <sharedItems containsSemiMixedTypes="0" containsString="0" containsNumber="1" minValue="0.55000000000000004" maxValue="8.15"/>
    </cacheField>
    <cacheField name="Quantity Sold" numFmtId="1">
      <sharedItems containsSemiMixedTypes="0" containsString="0" containsNumber="1" containsInteger="1" minValue="2" maxValue="46"/>
    </cacheField>
    <cacheField name="Current Stock" numFmtId="1">
      <sharedItems containsSemiMixedTypes="0" containsString="0" containsNumber="1" containsInteger="1" minValue="2" maxValue="161"/>
    </cacheField>
    <cacheField name="Reorder Level" numFmtId="1">
      <sharedItems containsSemiMixedTypes="0" containsString="0" containsNumber="1" containsInteger="1" minValue="5" maxValue="70"/>
    </cacheField>
    <cacheField name="Expiry Date" numFmtId="22">
      <sharedItems containsSemiMixedTypes="0" containsNonDate="0" containsDate="1" containsString="0" minDate="2026-10-20T00:00:00" maxDate="2028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9.521417708333" createdVersion="8" refreshedVersion="8" minRefreshableVersion="3" recordCount="5" xr:uid="{CADEBA94-25FC-47A3-B51C-E5D20EEEF216}">
  <cacheSource type="worksheet">
    <worksheetSource ref="N3:O8" sheet="Dashboard"/>
  </cacheSource>
  <cacheFields count="2">
    <cacheField name="Medicine" numFmtId="0">
      <sharedItems count="5">
        <s v="1. Paracetamol 500mg"/>
        <s v="2. Vitamin C 500mg"/>
        <s v="3. Omeprazole 20mg"/>
        <s v="4. Amlodipine 5mg"/>
        <s v="5. Atorvastatin 20mg"/>
      </sharedItems>
    </cacheField>
    <cacheField name="Quantity Sold" numFmtId="0">
      <sharedItems containsSemiMixedTypes="0" containsString="0" containsNumber="1" containsInteger="1" minValue="24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9.52177511574" createdVersion="8" refreshedVersion="8" minRefreshableVersion="3" recordCount="3" xr:uid="{97A31B67-BAF5-49F3-8217-7BCD444C9257}">
  <cacheSource type="worksheet">
    <worksheetSource ref="P3:Q6" sheet="Dashboard"/>
  </cacheSource>
  <cacheFields count="2">
    <cacheField name="Status" numFmtId="0">
      <sharedItems count="3">
        <s v="Sufficient Stock"/>
        <s v="Reorder Soon"/>
        <s v="Out Of Stock"/>
      </sharedItems>
    </cacheField>
    <cacheField name="Number Of Medicine" numFmtId="0">
      <sharedItems containsSemiMixedTypes="0" containsString="0" containsNumber="1" containsInteger="1" minValue="0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3.613823958331" createdVersion="8" refreshedVersion="8" minRefreshableVersion="3" recordCount="30" xr:uid="{B1A62324-3D5C-4866-BF14-72C7527D4C41}">
  <cacheSource type="worksheet">
    <worksheetSource name="Table2"/>
  </cacheSource>
  <cacheFields count="17">
    <cacheField name="Medicine" numFmtId="0">
      <sharedItems/>
    </cacheField>
    <cacheField name="Category" numFmtId="0">
      <sharedItems count="12">
        <s v="Analgesic"/>
        <s v="Gastrointestinal"/>
        <s v="Allergy"/>
        <s v="Supplements"/>
        <s v="Diabetes"/>
        <s v="Ophthalmic"/>
        <s v="Antibiotic"/>
        <s v="Cardiovascular"/>
        <s v="Vitamins"/>
        <s v="Dermatology"/>
        <s v="Respiratory"/>
        <s v="Hydration"/>
      </sharedItems>
    </cacheField>
    <cacheField name="Current Stock" numFmtId="0">
      <sharedItems containsSemiMixedTypes="0" containsString="0" containsNumber="1" containsInteger="1" minValue="3" maxValue="111"/>
    </cacheField>
    <cacheField name="Reorder Level " numFmtId="0">
      <sharedItems containsSemiMixedTypes="0" containsString="0" containsNumber="1" containsInteger="1" minValue="15" maxValue="35"/>
    </cacheField>
    <cacheField name="Stock Status " numFmtId="0">
      <sharedItems/>
    </cacheField>
    <cacheField name="Stock Difference " numFmtId="0">
      <sharedItems containsSemiMixedTypes="0" containsString="0" containsNumber="1" containsInteger="1" minValue="-24" maxValue="76"/>
    </cacheField>
    <cacheField name="Quantity Sold " numFmtId="0">
      <sharedItems containsSemiMixedTypes="0" containsString="0" containsNumber="1" containsInteger="1" minValue="66" maxValue="902"/>
    </cacheField>
    <cacheField name="Purchase Price " numFmtId="44">
      <sharedItems containsSemiMixedTypes="0" containsString="0" containsNumber="1" minValue="0.39" maxValue="4.33"/>
    </cacheField>
    <cacheField name="Total Purchase Cost" numFmtId="44">
      <sharedItems containsSemiMixedTypes="0" containsString="0" containsNumber="1" minValue="93.990000000000009" maxValue="1046.32"/>
    </cacheField>
    <cacheField name="Selling Price" numFmtId="44">
      <sharedItems containsSemiMixedTypes="0" containsString="0" containsNumber="1" minValue="0.67" maxValue="7.38"/>
    </cacheField>
    <cacheField name="Total Sales Revenue" numFmtId="44">
      <sharedItems containsSemiMixedTypes="0" containsString="0" containsNumber="1" minValue="161.47" maxValue="1822.04"/>
    </cacheField>
    <cacheField name="Profit Per Unit " numFmtId="44">
      <sharedItems containsSemiMixedTypes="0" containsString="0" containsNumber="1" minValue="0.28000000000000003" maxValue="3.1399999999999997"/>
    </cacheField>
    <cacheField name="Total Profit" numFmtId="44">
      <sharedItems containsSemiMixedTypes="0" containsString="0" containsNumber="1" minValue="67.48" maxValue="775.72000000000014"/>
    </cacheField>
    <cacheField name="Profit Margin %" numFmtId="9">
      <sharedItems containsSemiMixedTypes="0" containsString="0" containsNumber="1" minValue="0.26086956521739124" maxValue="0.42574257425742584"/>
    </cacheField>
    <cacheField name="Inventory Value" numFmtId="44">
      <sharedItems containsSemiMixedTypes="0" containsString="0" containsNumber="1" minValue="6.24" maxValue="212.17000000000002"/>
    </cacheField>
    <cacheField name="Reorder Quantity" numFmtId="0">
      <sharedItems containsSemiMixedTypes="0" containsString="0" containsNumber="1" containsInteger="1" minValue="0" maxValue="24"/>
    </cacheField>
    <cacheField name="Sales Contribution %" numFmtId="9">
      <sharedItems containsSemiMixedTypes="0" containsString="0" containsNumber="1" minValue="7.0571719651909689E-3" maxValue="7.963367565155479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d v="2026-01-01T00:00:00"/>
    <x v="0"/>
    <x v="0"/>
    <x v="0"/>
    <n v="1.81"/>
    <n v="2.8"/>
    <n v="18"/>
    <n v="15"/>
    <n v="21"/>
    <d v="2028-04-25T00:00:00"/>
  </r>
  <r>
    <d v="2026-01-02T00:00:00"/>
    <x v="1"/>
    <x v="1"/>
    <x v="1"/>
    <n v="1.05"/>
    <n v="1.58"/>
    <n v="4"/>
    <n v="40"/>
    <n v="8"/>
    <d v="2027-02-13T00:00:00"/>
  </r>
  <r>
    <d v="2026-01-02T00:00:00"/>
    <x v="2"/>
    <x v="2"/>
    <x v="0"/>
    <n v="1.07"/>
    <n v="1.75"/>
    <n v="16"/>
    <n v="12"/>
    <n v="26"/>
    <d v="2027-04-25T00:00:00"/>
  </r>
  <r>
    <d v="2026-01-03T00:00:00"/>
    <x v="3"/>
    <x v="3"/>
    <x v="2"/>
    <n v="1.59"/>
    <n v="2.17"/>
    <n v="13"/>
    <n v="16"/>
    <n v="14"/>
    <d v="2028-01-02T00:00:00"/>
  </r>
  <r>
    <d v="2026-01-04T00:00:00"/>
    <x v="4"/>
    <x v="4"/>
    <x v="2"/>
    <n v="1.68"/>
    <n v="2.2799999999999998"/>
    <n v="18"/>
    <n v="56"/>
    <n v="23"/>
    <d v="2027-04-02T00:00:00"/>
  </r>
  <r>
    <d v="2026-01-05T00:00:00"/>
    <x v="5"/>
    <x v="5"/>
    <x v="2"/>
    <n v="3.17"/>
    <n v="4.91"/>
    <n v="3"/>
    <n v="8"/>
    <n v="9"/>
    <d v="2028-01-03T00:00:00"/>
  </r>
  <r>
    <d v="2026-01-05T00:00:00"/>
    <x v="6"/>
    <x v="0"/>
    <x v="3"/>
    <n v="1.6"/>
    <n v="2.16"/>
    <n v="15"/>
    <n v="84"/>
    <n v="22"/>
    <d v="2028-01-13T00:00:00"/>
  </r>
  <r>
    <d v="2026-01-05T00:00:00"/>
    <x v="0"/>
    <x v="0"/>
    <x v="3"/>
    <n v="1.92"/>
    <n v="2.96"/>
    <n v="16"/>
    <n v="80"/>
    <n v="22"/>
    <d v="2027-07-04T00:00:00"/>
  </r>
  <r>
    <d v="2026-01-06T00:00:00"/>
    <x v="7"/>
    <x v="6"/>
    <x v="2"/>
    <n v="3.87"/>
    <n v="5.43"/>
    <n v="13"/>
    <n v="6"/>
    <n v="15"/>
    <d v="2027-07-26T00:00:00"/>
  </r>
  <r>
    <d v="2026-01-06T00:00:00"/>
    <x v="8"/>
    <x v="7"/>
    <x v="3"/>
    <n v="2.79"/>
    <n v="3.81"/>
    <n v="24"/>
    <n v="61"/>
    <n v="24"/>
    <d v="2026-11-05T00:00:00"/>
  </r>
  <r>
    <d v="2026-01-06T00:00:00"/>
    <x v="1"/>
    <x v="1"/>
    <x v="4"/>
    <n v="1.07"/>
    <n v="1.79"/>
    <n v="4"/>
    <n v="5"/>
    <n v="12"/>
    <d v="2027-08-10T00:00:00"/>
  </r>
  <r>
    <d v="2026-01-07T00:00:00"/>
    <x v="0"/>
    <x v="0"/>
    <x v="3"/>
    <n v="1.71"/>
    <n v="2.79"/>
    <n v="12"/>
    <n v="49"/>
    <n v="26"/>
    <d v="2028-01-01T00:00:00"/>
  </r>
  <r>
    <d v="2026-01-08T00:00:00"/>
    <x v="9"/>
    <x v="4"/>
    <x v="1"/>
    <n v="2.17"/>
    <n v="3.42"/>
    <n v="12"/>
    <n v="22"/>
    <n v="19"/>
    <d v="2028-01-04T00:00:00"/>
  </r>
  <r>
    <d v="2026-01-08T00:00:00"/>
    <x v="10"/>
    <x v="0"/>
    <x v="5"/>
    <n v="1.27"/>
    <n v="1.94"/>
    <n v="39"/>
    <n v="74"/>
    <n v="64"/>
    <d v="2028-12-16T00:00:00"/>
  </r>
  <r>
    <d v="2026-01-10T00:00:00"/>
    <x v="11"/>
    <x v="8"/>
    <x v="1"/>
    <n v="3.09"/>
    <n v="4.22"/>
    <n v="16"/>
    <n v="32"/>
    <n v="11"/>
    <d v="2028-06-17T00:00:00"/>
  </r>
  <r>
    <d v="2026-01-11T00:00:00"/>
    <x v="8"/>
    <x v="7"/>
    <x v="0"/>
    <n v="2.95"/>
    <n v="4.51"/>
    <n v="12"/>
    <n v="78"/>
    <n v="20"/>
    <d v="2027-05-19T00:00:00"/>
  </r>
  <r>
    <d v="2026-01-11T00:00:00"/>
    <x v="12"/>
    <x v="5"/>
    <x v="5"/>
    <n v="2.4900000000000002"/>
    <n v="3.99"/>
    <n v="14"/>
    <n v="17"/>
    <n v="22"/>
    <d v="2028-08-25T00:00:00"/>
  </r>
  <r>
    <d v="2026-01-13T00:00:00"/>
    <x v="13"/>
    <x v="6"/>
    <x v="2"/>
    <n v="4.04"/>
    <n v="6.67"/>
    <n v="16"/>
    <n v="35"/>
    <n v="21"/>
    <d v="2027-09-09T00:00:00"/>
  </r>
  <r>
    <d v="2026-01-13T00:00:00"/>
    <x v="1"/>
    <x v="1"/>
    <x v="2"/>
    <n v="1.05"/>
    <n v="1.76"/>
    <n v="4"/>
    <n v="16"/>
    <n v="13"/>
    <d v="2027-08-22T00:00:00"/>
  </r>
  <r>
    <d v="2026-01-13T00:00:00"/>
    <x v="14"/>
    <x v="1"/>
    <x v="5"/>
    <n v="2.5299999999999998"/>
    <n v="3.92"/>
    <n v="12"/>
    <n v="75"/>
    <n v="34"/>
    <d v="2027-02-10T00:00:00"/>
  </r>
  <r>
    <d v="2026-01-13T00:00:00"/>
    <x v="15"/>
    <x v="9"/>
    <x v="5"/>
    <n v="1.64"/>
    <n v="2.8"/>
    <n v="7"/>
    <n v="34"/>
    <n v="15"/>
    <d v="2027-10-30T00:00:00"/>
  </r>
  <r>
    <d v="2026-01-13T00:00:00"/>
    <x v="16"/>
    <x v="10"/>
    <x v="1"/>
    <n v="2.0099999999999998"/>
    <n v="2.74"/>
    <n v="8"/>
    <n v="39"/>
    <n v="29"/>
    <d v="2028-09-07T00:00:00"/>
  </r>
  <r>
    <d v="2026-01-13T00:00:00"/>
    <x v="17"/>
    <x v="8"/>
    <x v="5"/>
    <n v="1.5"/>
    <n v="2.3199999999999998"/>
    <n v="15"/>
    <n v="74"/>
    <n v="16"/>
    <d v="2027-07-23T00:00:00"/>
  </r>
  <r>
    <d v="2026-01-14T00:00:00"/>
    <x v="6"/>
    <x v="0"/>
    <x v="5"/>
    <n v="1.61"/>
    <n v="2.2400000000000002"/>
    <n v="9"/>
    <n v="37"/>
    <n v="22"/>
    <d v="2027-12-06T00:00:00"/>
  </r>
  <r>
    <d v="2026-01-14T00:00:00"/>
    <x v="16"/>
    <x v="10"/>
    <x v="3"/>
    <n v="2.0299999999999998"/>
    <n v="3.13"/>
    <n v="10"/>
    <n v="59"/>
    <n v="26"/>
    <d v="2028-10-19T00:00:00"/>
  </r>
  <r>
    <d v="2026-01-14T00:00:00"/>
    <x v="18"/>
    <x v="11"/>
    <x v="3"/>
    <n v="0.39"/>
    <n v="0.66"/>
    <n v="10"/>
    <n v="18"/>
    <n v="27"/>
    <d v="2027-10-11T00:00:00"/>
  </r>
  <r>
    <d v="2026-01-17T00:00:00"/>
    <x v="19"/>
    <x v="10"/>
    <x v="3"/>
    <n v="4.5999999999999996"/>
    <n v="6.34"/>
    <n v="6"/>
    <n v="22"/>
    <n v="13"/>
    <d v="2027-07-26T00:00:00"/>
  </r>
  <r>
    <d v="2026-01-18T00:00:00"/>
    <x v="20"/>
    <x v="10"/>
    <x v="2"/>
    <n v="2.92"/>
    <n v="4.83"/>
    <n v="10"/>
    <n v="52"/>
    <n v="19"/>
    <d v="2027-11-15T00:00:00"/>
  </r>
  <r>
    <d v="2026-01-18T00:00:00"/>
    <x v="6"/>
    <x v="0"/>
    <x v="6"/>
    <n v="1.41"/>
    <n v="2.08"/>
    <n v="12"/>
    <n v="39"/>
    <n v="31"/>
    <d v="2028-07-14T00:00:00"/>
  </r>
  <r>
    <d v="2026-01-18T00:00:00"/>
    <x v="21"/>
    <x v="2"/>
    <x v="4"/>
    <n v="0.86"/>
    <n v="1.3"/>
    <n v="23"/>
    <n v="45"/>
    <n v="22"/>
    <d v="2027-01-21T00:00:00"/>
  </r>
  <r>
    <d v="2026-01-19T00:00:00"/>
    <x v="9"/>
    <x v="4"/>
    <x v="1"/>
    <n v="2.33"/>
    <n v="3.41"/>
    <n v="13"/>
    <n v="16"/>
    <n v="23"/>
    <d v="2028-06-23T00:00:00"/>
  </r>
  <r>
    <d v="2026-01-19T00:00:00"/>
    <x v="10"/>
    <x v="0"/>
    <x v="6"/>
    <n v="1.29"/>
    <n v="1.79"/>
    <n v="28"/>
    <n v="24"/>
    <n v="65"/>
    <d v="2028-07-13T00:00:00"/>
  </r>
  <r>
    <d v="2026-01-20T00:00:00"/>
    <x v="5"/>
    <x v="5"/>
    <x v="4"/>
    <n v="3.02"/>
    <n v="4.3899999999999997"/>
    <n v="4"/>
    <n v="12"/>
    <n v="6"/>
    <d v="2027-09-28T00:00:00"/>
  </r>
  <r>
    <d v="2026-01-20T00:00:00"/>
    <x v="12"/>
    <x v="5"/>
    <x v="4"/>
    <n v="2.41"/>
    <n v="3.88"/>
    <n v="9"/>
    <n v="6"/>
    <n v="20"/>
    <d v="2028-09-13T00:00:00"/>
  </r>
  <r>
    <d v="2026-01-22T00:00:00"/>
    <x v="16"/>
    <x v="10"/>
    <x v="6"/>
    <n v="2.02"/>
    <n v="3.02"/>
    <n v="8"/>
    <n v="74"/>
    <n v="29"/>
    <d v="2027-02-09T00:00:00"/>
  </r>
  <r>
    <d v="2026-01-25T00:00:00"/>
    <x v="12"/>
    <x v="5"/>
    <x v="4"/>
    <n v="2.66"/>
    <n v="3.86"/>
    <n v="7"/>
    <n v="6"/>
    <n v="14"/>
    <d v="2028-03-10T00:00:00"/>
  </r>
  <r>
    <d v="2026-01-25T00:00:00"/>
    <x v="7"/>
    <x v="6"/>
    <x v="4"/>
    <n v="4.0599999999999996"/>
    <n v="6.58"/>
    <n v="10"/>
    <n v="25"/>
    <n v="15"/>
    <d v="2027-10-10T00:00:00"/>
  </r>
  <r>
    <d v="2026-01-25T00:00:00"/>
    <x v="22"/>
    <x v="6"/>
    <x v="1"/>
    <n v="3.7"/>
    <n v="5.76"/>
    <n v="21"/>
    <n v="92"/>
    <n v="35"/>
    <d v="2027-04-06T00:00:00"/>
  </r>
  <r>
    <d v="2026-01-26T00:00:00"/>
    <x v="3"/>
    <x v="3"/>
    <x v="6"/>
    <n v="1.66"/>
    <n v="2.37"/>
    <n v="11"/>
    <n v="39"/>
    <n v="19"/>
    <d v="2027-06-05T00:00:00"/>
  </r>
  <r>
    <d v="2026-01-26T00:00:00"/>
    <x v="0"/>
    <x v="0"/>
    <x v="6"/>
    <n v="1.79"/>
    <n v="2.84"/>
    <n v="32"/>
    <n v="109"/>
    <n v="41"/>
    <d v="2027-07-31T00:00:00"/>
  </r>
  <r>
    <d v="2026-01-27T00:00:00"/>
    <x v="14"/>
    <x v="1"/>
    <x v="1"/>
    <n v="2.4900000000000002"/>
    <n v="4.13"/>
    <n v="20"/>
    <n v="51"/>
    <n v="29"/>
    <d v="2027-06-15T00:00:00"/>
  </r>
  <r>
    <d v="2026-01-28T00:00:00"/>
    <x v="6"/>
    <x v="0"/>
    <x v="1"/>
    <n v="1.54"/>
    <n v="2.62"/>
    <n v="9"/>
    <n v="44"/>
    <n v="26"/>
    <d v="2028-11-10T00:00:00"/>
  </r>
  <r>
    <d v="2026-01-28T00:00:00"/>
    <x v="9"/>
    <x v="4"/>
    <x v="4"/>
    <n v="2.27"/>
    <n v="3.65"/>
    <n v="16"/>
    <n v="58"/>
    <n v="21"/>
    <d v="2028-08-17T00:00:00"/>
  </r>
  <r>
    <d v="2026-01-28T00:00:00"/>
    <x v="6"/>
    <x v="0"/>
    <x v="6"/>
    <n v="1.59"/>
    <n v="2.2599999999999998"/>
    <n v="10"/>
    <n v="36"/>
    <n v="21"/>
    <d v="2028-02-20T00:00:00"/>
  </r>
  <r>
    <d v="2026-01-29T00:00:00"/>
    <x v="3"/>
    <x v="3"/>
    <x v="5"/>
    <n v="1.61"/>
    <n v="2.68"/>
    <n v="8"/>
    <n v="6"/>
    <n v="11"/>
    <d v="2027-12-18T00:00:00"/>
  </r>
  <r>
    <d v="2026-01-29T00:00:00"/>
    <x v="22"/>
    <x v="6"/>
    <x v="3"/>
    <n v="3.35"/>
    <n v="4.88"/>
    <n v="12"/>
    <n v="56"/>
    <n v="19"/>
    <d v="2027-05-31T00:00:00"/>
  </r>
  <r>
    <d v="2026-01-30T00:00:00"/>
    <x v="23"/>
    <x v="1"/>
    <x v="1"/>
    <n v="1.95"/>
    <n v="2.72"/>
    <n v="34"/>
    <n v="91"/>
    <n v="34"/>
    <d v="2028-07-24T00:00:00"/>
  </r>
  <r>
    <d v="2026-01-31T00:00:00"/>
    <x v="7"/>
    <x v="6"/>
    <x v="3"/>
    <n v="3.71"/>
    <n v="6"/>
    <n v="13"/>
    <n v="44"/>
    <n v="8"/>
    <d v="2027-01-11T00:00:00"/>
  </r>
  <r>
    <d v="2026-01-31T00:00:00"/>
    <x v="14"/>
    <x v="1"/>
    <x v="5"/>
    <n v="2.56"/>
    <n v="4.16"/>
    <n v="21"/>
    <n v="34"/>
    <n v="19"/>
    <d v="2028-05-26T00:00:00"/>
  </r>
  <r>
    <d v="2026-02-01T00:00:00"/>
    <x v="16"/>
    <x v="10"/>
    <x v="1"/>
    <n v="1.92"/>
    <n v="2.67"/>
    <n v="11"/>
    <n v="47"/>
    <n v="20"/>
    <d v="2027-10-12T00:00:00"/>
  </r>
  <r>
    <d v="2026-02-01T00:00:00"/>
    <x v="18"/>
    <x v="11"/>
    <x v="0"/>
    <n v="0.42"/>
    <n v="0.61"/>
    <n v="16"/>
    <n v="10"/>
    <n v="22"/>
    <d v="2028-08-18T00:00:00"/>
  </r>
  <r>
    <d v="2026-02-05T00:00:00"/>
    <x v="9"/>
    <x v="4"/>
    <x v="6"/>
    <n v="2.2200000000000002"/>
    <n v="3.11"/>
    <n v="11"/>
    <n v="26"/>
    <n v="21"/>
    <d v="2026-11-26T00:00:00"/>
  </r>
  <r>
    <d v="2026-02-06T00:00:00"/>
    <x v="10"/>
    <x v="0"/>
    <x v="2"/>
    <n v="1.28"/>
    <n v="2.02"/>
    <n v="39"/>
    <n v="70"/>
    <n v="47"/>
    <d v="2027-11-10T00:00:00"/>
  </r>
  <r>
    <d v="2026-02-07T00:00:00"/>
    <x v="9"/>
    <x v="4"/>
    <x v="4"/>
    <n v="2.1800000000000002"/>
    <n v="3.1"/>
    <n v="10"/>
    <n v="18"/>
    <n v="11"/>
    <d v="2027-11-08T00:00:00"/>
  </r>
  <r>
    <d v="2026-02-07T00:00:00"/>
    <x v="11"/>
    <x v="8"/>
    <x v="0"/>
    <n v="3.43"/>
    <n v="4.96"/>
    <n v="15"/>
    <n v="53"/>
    <n v="17"/>
    <d v="2026-12-26T00:00:00"/>
  </r>
  <r>
    <d v="2026-02-07T00:00:00"/>
    <x v="2"/>
    <x v="2"/>
    <x v="0"/>
    <n v="1.06"/>
    <n v="1.85"/>
    <n v="10"/>
    <n v="65"/>
    <n v="13"/>
    <d v="2028-09-27T00:00:00"/>
  </r>
  <r>
    <d v="2026-02-08T00:00:00"/>
    <x v="6"/>
    <x v="0"/>
    <x v="5"/>
    <n v="1.43"/>
    <n v="1.96"/>
    <n v="14"/>
    <n v="16"/>
    <n v="35"/>
    <d v="2027-07-07T00:00:00"/>
  </r>
  <r>
    <d v="2026-02-08T00:00:00"/>
    <x v="24"/>
    <x v="7"/>
    <x v="3"/>
    <n v="1.06"/>
    <n v="1.72"/>
    <n v="27"/>
    <n v="89"/>
    <n v="38"/>
    <d v="2027-12-28T00:00:00"/>
  </r>
  <r>
    <d v="2026-02-09T00:00:00"/>
    <x v="5"/>
    <x v="5"/>
    <x v="2"/>
    <n v="3.2"/>
    <n v="5.18"/>
    <n v="6"/>
    <n v="20"/>
    <n v="6"/>
    <d v="2028-05-18T00:00:00"/>
  </r>
  <r>
    <d v="2026-02-09T00:00:00"/>
    <x v="21"/>
    <x v="2"/>
    <x v="6"/>
    <n v="0.93"/>
    <n v="1.33"/>
    <n v="23"/>
    <n v="114"/>
    <n v="22"/>
    <d v="2028-08-17T00:00:00"/>
  </r>
  <r>
    <d v="2026-02-09T00:00:00"/>
    <x v="25"/>
    <x v="8"/>
    <x v="5"/>
    <n v="1.1100000000000001"/>
    <n v="1.85"/>
    <n v="37"/>
    <n v="29"/>
    <n v="49"/>
    <d v="2027-09-26T00:00:00"/>
  </r>
  <r>
    <d v="2026-02-11T00:00:00"/>
    <x v="18"/>
    <x v="11"/>
    <x v="5"/>
    <n v="0.38"/>
    <n v="0.63"/>
    <n v="21"/>
    <n v="76"/>
    <n v="24"/>
    <d v="2027-11-13T00:00:00"/>
  </r>
  <r>
    <d v="2026-02-12T00:00:00"/>
    <x v="2"/>
    <x v="2"/>
    <x v="5"/>
    <n v="0.99"/>
    <n v="1.55"/>
    <n v="16"/>
    <n v="52"/>
    <n v="29"/>
    <d v="2026-11-04T00:00:00"/>
  </r>
  <r>
    <d v="2026-02-13T00:00:00"/>
    <x v="1"/>
    <x v="1"/>
    <x v="0"/>
    <n v="1.07"/>
    <n v="1.75"/>
    <n v="7"/>
    <n v="14"/>
    <n v="14"/>
    <d v="2026-10-20T00:00:00"/>
  </r>
  <r>
    <d v="2026-02-13T00:00:00"/>
    <x v="0"/>
    <x v="0"/>
    <x v="0"/>
    <n v="1.75"/>
    <n v="2.75"/>
    <n v="33"/>
    <n v="40"/>
    <n v="34"/>
    <d v="2027-01-19T00:00:00"/>
  </r>
  <r>
    <d v="2026-02-13T00:00:00"/>
    <x v="26"/>
    <x v="9"/>
    <x v="6"/>
    <n v="2.2599999999999998"/>
    <n v="3.29"/>
    <n v="8"/>
    <n v="16"/>
    <n v="10"/>
    <d v="2027-11-29T00:00:00"/>
  </r>
  <r>
    <d v="2026-02-13T00:00:00"/>
    <x v="27"/>
    <x v="9"/>
    <x v="0"/>
    <n v="1.81"/>
    <n v="2.63"/>
    <n v="5"/>
    <n v="12"/>
    <n v="9"/>
    <d v="2027-06-10T00:00:00"/>
  </r>
  <r>
    <d v="2026-02-14T00:00:00"/>
    <x v="9"/>
    <x v="4"/>
    <x v="4"/>
    <n v="2.23"/>
    <n v="3.76"/>
    <n v="9"/>
    <n v="14"/>
    <n v="15"/>
    <d v="2027-03-10T00:00:00"/>
  </r>
  <r>
    <d v="2026-02-14T00:00:00"/>
    <x v="27"/>
    <x v="9"/>
    <x v="2"/>
    <n v="1.93"/>
    <n v="2.67"/>
    <n v="6"/>
    <n v="9"/>
    <n v="14"/>
    <d v="2028-08-19T00:00:00"/>
  </r>
  <r>
    <d v="2026-02-17T00:00:00"/>
    <x v="23"/>
    <x v="1"/>
    <x v="6"/>
    <n v="2.02"/>
    <n v="3.41"/>
    <n v="13"/>
    <n v="139"/>
    <n v="27"/>
    <d v="2027-03-02T00:00:00"/>
  </r>
  <r>
    <d v="2026-02-17T00:00:00"/>
    <x v="8"/>
    <x v="7"/>
    <x v="5"/>
    <n v="2.66"/>
    <n v="4.24"/>
    <n v="19"/>
    <n v="16"/>
    <n v="16"/>
    <d v="2028-05-22T00:00:00"/>
  </r>
  <r>
    <d v="2026-02-18T00:00:00"/>
    <x v="10"/>
    <x v="0"/>
    <x v="3"/>
    <n v="1.18"/>
    <n v="2.0499999999999998"/>
    <n v="17"/>
    <n v="88"/>
    <n v="56"/>
    <d v="2028-02-24T00:00:00"/>
  </r>
  <r>
    <d v="2026-02-19T00:00:00"/>
    <x v="16"/>
    <x v="10"/>
    <x v="1"/>
    <n v="1.93"/>
    <n v="2.75"/>
    <n v="8"/>
    <n v="50"/>
    <n v="21"/>
    <d v="2028-07-13T00:00:00"/>
  </r>
  <r>
    <d v="2026-02-19T00:00:00"/>
    <x v="2"/>
    <x v="2"/>
    <x v="3"/>
    <n v="0.95"/>
    <n v="1.44"/>
    <n v="15"/>
    <n v="57"/>
    <n v="17"/>
    <d v="2028-08-30T00:00:00"/>
  </r>
  <r>
    <d v="2026-02-19T00:00:00"/>
    <x v="2"/>
    <x v="2"/>
    <x v="4"/>
    <n v="1.06"/>
    <n v="1.66"/>
    <n v="16"/>
    <n v="41"/>
    <n v="21"/>
    <d v="2027-03-14T00:00:00"/>
  </r>
  <r>
    <d v="2026-02-20T00:00:00"/>
    <x v="19"/>
    <x v="10"/>
    <x v="0"/>
    <n v="4.79"/>
    <n v="6.91"/>
    <n v="11"/>
    <n v="17"/>
    <n v="10"/>
    <d v="2027-03-20T00:00:00"/>
  </r>
  <r>
    <d v="2026-02-21T00:00:00"/>
    <x v="10"/>
    <x v="0"/>
    <x v="3"/>
    <n v="1.17"/>
    <n v="1.74"/>
    <n v="46"/>
    <n v="48"/>
    <n v="63"/>
    <d v="2028-01-25T00:00:00"/>
  </r>
  <r>
    <d v="2026-02-21T00:00:00"/>
    <x v="7"/>
    <x v="6"/>
    <x v="6"/>
    <n v="3.89"/>
    <n v="6.51"/>
    <n v="7"/>
    <n v="10"/>
    <n v="18"/>
    <d v="2028-11-12T00:00:00"/>
  </r>
  <r>
    <d v="2026-02-22T00:00:00"/>
    <x v="28"/>
    <x v="3"/>
    <x v="1"/>
    <n v="1.28"/>
    <n v="2.14"/>
    <n v="12"/>
    <n v="32"/>
    <n v="8"/>
    <d v="2028-06-30T00:00:00"/>
  </r>
  <r>
    <d v="2026-02-22T00:00:00"/>
    <x v="1"/>
    <x v="1"/>
    <x v="3"/>
    <n v="1.18"/>
    <n v="1.75"/>
    <n v="7"/>
    <n v="38"/>
    <n v="15"/>
    <d v="2028-05-23T00:00:00"/>
  </r>
  <r>
    <d v="2026-02-24T00:00:00"/>
    <x v="13"/>
    <x v="6"/>
    <x v="3"/>
    <n v="4.07"/>
    <n v="6.14"/>
    <n v="6"/>
    <n v="52"/>
    <n v="10"/>
    <d v="2027-03-09T00:00:00"/>
  </r>
  <r>
    <d v="2026-02-24T00:00:00"/>
    <x v="23"/>
    <x v="1"/>
    <x v="5"/>
    <n v="1.97"/>
    <n v="2.71"/>
    <n v="22"/>
    <n v="64"/>
    <n v="34"/>
    <d v="2027-04-28T00:00:00"/>
  </r>
  <r>
    <d v="2026-02-25T00:00:00"/>
    <x v="8"/>
    <x v="7"/>
    <x v="2"/>
    <n v="2.74"/>
    <n v="3.77"/>
    <n v="16"/>
    <n v="71"/>
    <n v="23"/>
    <d v="2028-10-10T00:00:00"/>
  </r>
  <r>
    <d v="2026-02-25T00:00:00"/>
    <x v="25"/>
    <x v="8"/>
    <x v="5"/>
    <n v="1.1000000000000001"/>
    <n v="1.74"/>
    <n v="27"/>
    <n v="137"/>
    <n v="45"/>
    <d v="2028-07-23T00:00:00"/>
  </r>
  <r>
    <d v="2026-02-25T00:00:00"/>
    <x v="22"/>
    <x v="6"/>
    <x v="3"/>
    <n v="3.5"/>
    <n v="4.7699999999999996"/>
    <n v="30"/>
    <n v="68"/>
    <n v="42"/>
    <d v="2028-05-14T00:00:00"/>
  </r>
  <r>
    <d v="2026-02-25T00:00:00"/>
    <x v="1"/>
    <x v="1"/>
    <x v="3"/>
    <n v="1.07"/>
    <n v="1.63"/>
    <n v="10"/>
    <n v="26"/>
    <n v="8"/>
    <d v="2027-11-21T00:00:00"/>
  </r>
  <r>
    <d v="2026-02-27T00:00:00"/>
    <x v="11"/>
    <x v="8"/>
    <x v="0"/>
    <n v="3.3"/>
    <n v="5.13"/>
    <n v="13"/>
    <n v="56"/>
    <n v="15"/>
    <d v="2028-05-19T00:00:00"/>
  </r>
  <r>
    <d v="2026-02-27T00:00:00"/>
    <x v="20"/>
    <x v="10"/>
    <x v="1"/>
    <n v="3.22"/>
    <n v="5.58"/>
    <n v="15"/>
    <n v="30"/>
    <n v="14"/>
    <d v="2027-05-09T00:00:00"/>
  </r>
  <r>
    <d v="2026-02-27T00:00:00"/>
    <x v="4"/>
    <x v="4"/>
    <x v="2"/>
    <n v="1.69"/>
    <n v="2.35"/>
    <n v="20"/>
    <n v="81"/>
    <n v="21"/>
    <d v="2028-05-04T00:00:00"/>
  </r>
  <r>
    <d v="2026-02-27T00:00:00"/>
    <x v="23"/>
    <x v="1"/>
    <x v="2"/>
    <n v="1.89"/>
    <n v="3.16"/>
    <n v="14"/>
    <n v="12"/>
    <n v="37"/>
    <d v="2027-01-18T00:00:00"/>
  </r>
  <r>
    <d v="2026-02-27T00:00:00"/>
    <x v="11"/>
    <x v="8"/>
    <x v="4"/>
    <n v="3.11"/>
    <n v="4.9400000000000004"/>
    <n v="13"/>
    <n v="57"/>
    <n v="14"/>
    <d v="2027-12-02T00:00:00"/>
  </r>
  <r>
    <d v="2026-02-28T00:00:00"/>
    <x v="12"/>
    <x v="5"/>
    <x v="6"/>
    <n v="2.57"/>
    <n v="4.1399999999999997"/>
    <n v="7"/>
    <n v="59"/>
    <n v="15"/>
    <d v="2028-02-23T00:00:00"/>
  </r>
  <r>
    <d v="2026-02-28T00:00:00"/>
    <x v="19"/>
    <x v="10"/>
    <x v="4"/>
    <n v="4.33"/>
    <n v="6.22"/>
    <n v="10"/>
    <n v="26"/>
    <n v="11"/>
    <d v="2026-11-02T00:00:00"/>
  </r>
  <r>
    <d v="2026-02-28T00:00:00"/>
    <x v="23"/>
    <x v="1"/>
    <x v="6"/>
    <n v="2.1"/>
    <n v="3.02"/>
    <n v="29"/>
    <n v="37"/>
    <n v="23"/>
    <d v="2028-10-11T00:00:00"/>
  </r>
  <r>
    <d v="2026-02-28T00:00:00"/>
    <x v="11"/>
    <x v="8"/>
    <x v="3"/>
    <n v="3.42"/>
    <n v="4.95"/>
    <n v="7"/>
    <n v="50"/>
    <n v="12"/>
    <d v="2028-03-12T00:00:00"/>
  </r>
  <r>
    <d v="2026-03-01T00:00:00"/>
    <x v="13"/>
    <x v="6"/>
    <x v="6"/>
    <n v="4.24"/>
    <n v="7.02"/>
    <n v="11"/>
    <n v="54"/>
    <n v="10"/>
    <d v="2028-11-08T00:00:00"/>
  </r>
  <r>
    <d v="2026-03-01T00:00:00"/>
    <x v="20"/>
    <x v="10"/>
    <x v="5"/>
    <n v="3.03"/>
    <n v="4.51"/>
    <n v="10"/>
    <n v="42"/>
    <n v="10"/>
    <d v="2027-12-29T00:00:00"/>
  </r>
  <r>
    <d v="2026-03-02T00:00:00"/>
    <x v="12"/>
    <x v="5"/>
    <x v="1"/>
    <n v="2.44"/>
    <n v="4.22"/>
    <n v="11"/>
    <n v="47"/>
    <n v="19"/>
    <d v="2028-04-25T00:00:00"/>
  </r>
  <r>
    <d v="2026-03-02T00:00:00"/>
    <x v="6"/>
    <x v="0"/>
    <x v="5"/>
    <n v="1.59"/>
    <n v="2.75"/>
    <n v="13"/>
    <n v="12"/>
    <n v="22"/>
    <d v="2027-09-07T00:00:00"/>
  </r>
  <r>
    <d v="2026-03-02T00:00:00"/>
    <x v="23"/>
    <x v="1"/>
    <x v="5"/>
    <n v="2.0499999999999998"/>
    <n v="3.28"/>
    <n v="35"/>
    <n v="81"/>
    <n v="39"/>
    <d v="2028-03-14T00:00:00"/>
  </r>
  <r>
    <d v="2026-03-02T00:00:00"/>
    <x v="28"/>
    <x v="3"/>
    <x v="4"/>
    <n v="1.34"/>
    <n v="2.3199999999999998"/>
    <n v="13"/>
    <n v="29"/>
    <n v="15"/>
    <d v="2027-04-10T00:00:00"/>
  </r>
  <r>
    <d v="2026-03-04T00:00:00"/>
    <x v="10"/>
    <x v="0"/>
    <x v="6"/>
    <n v="1.2"/>
    <n v="1.72"/>
    <n v="36"/>
    <n v="82"/>
    <n v="40"/>
    <d v="2027-06-20T00:00:00"/>
  </r>
  <r>
    <d v="2026-03-04T00:00:00"/>
    <x v="28"/>
    <x v="3"/>
    <x v="3"/>
    <n v="1.38"/>
    <n v="2.0299999999999998"/>
    <n v="13"/>
    <n v="48"/>
    <n v="16"/>
    <d v="2028-01-27T00:00:00"/>
  </r>
  <r>
    <d v="2026-03-05T00:00:00"/>
    <x v="12"/>
    <x v="5"/>
    <x v="5"/>
    <n v="2.5299999999999998"/>
    <n v="3.68"/>
    <n v="14"/>
    <n v="52"/>
    <n v="12"/>
    <d v="2028-01-22T00:00:00"/>
  </r>
  <r>
    <d v="2026-03-05T00:00:00"/>
    <x v="22"/>
    <x v="6"/>
    <x v="3"/>
    <n v="3.33"/>
    <n v="5.21"/>
    <n v="16"/>
    <n v="99"/>
    <n v="37"/>
    <d v="2027-03-14T00:00:00"/>
  </r>
  <r>
    <d v="2026-03-06T00:00:00"/>
    <x v="28"/>
    <x v="3"/>
    <x v="2"/>
    <n v="1.35"/>
    <n v="1.89"/>
    <n v="8"/>
    <n v="42"/>
    <n v="11"/>
    <d v="2028-11-05T00:00:00"/>
  </r>
  <r>
    <d v="2026-03-06T00:00:00"/>
    <x v="6"/>
    <x v="0"/>
    <x v="0"/>
    <n v="1.58"/>
    <n v="2.19"/>
    <n v="9"/>
    <n v="76"/>
    <n v="28"/>
    <d v="2027-07-26T00:00:00"/>
  </r>
  <r>
    <d v="2026-03-07T00:00:00"/>
    <x v="28"/>
    <x v="3"/>
    <x v="1"/>
    <n v="1.37"/>
    <n v="1.93"/>
    <n v="8"/>
    <n v="25"/>
    <n v="10"/>
    <d v="2027-02-28T00:00:00"/>
  </r>
  <r>
    <d v="2026-03-08T00:00:00"/>
    <x v="19"/>
    <x v="10"/>
    <x v="1"/>
    <n v="4.24"/>
    <n v="6.77"/>
    <n v="8"/>
    <n v="34"/>
    <n v="13"/>
    <d v="2028-01-19T00:00:00"/>
  </r>
  <r>
    <d v="2026-03-09T00:00:00"/>
    <x v="22"/>
    <x v="6"/>
    <x v="4"/>
    <n v="3.61"/>
    <n v="6.11"/>
    <n v="20"/>
    <n v="79"/>
    <n v="41"/>
    <d v="2027-01-25T00:00:00"/>
  </r>
  <r>
    <d v="2026-03-09T00:00:00"/>
    <x v="0"/>
    <x v="0"/>
    <x v="0"/>
    <n v="1.82"/>
    <n v="2.62"/>
    <n v="25"/>
    <n v="123"/>
    <n v="31"/>
    <d v="2027-03-14T00:00:00"/>
  </r>
  <r>
    <d v="2026-03-11T00:00:00"/>
    <x v="7"/>
    <x v="6"/>
    <x v="3"/>
    <n v="4.0999999999999996"/>
    <n v="6.34"/>
    <n v="10"/>
    <n v="49"/>
    <n v="9"/>
    <d v="2028-02-18T00:00:00"/>
  </r>
  <r>
    <d v="2026-03-12T00:00:00"/>
    <x v="29"/>
    <x v="7"/>
    <x v="6"/>
    <n v="1.82"/>
    <n v="3.02"/>
    <n v="12"/>
    <n v="37"/>
    <n v="27"/>
    <d v="2028-05-08T00:00:00"/>
  </r>
  <r>
    <d v="2026-03-13T00:00:00"/>
    <x v="16"/>
    <x v="10"/>
    <x v="1"/>
    <n v="2.04"/>
    <n v="2.81"/>
    <n v="19"/>
    <n v="14"/>
    <n v="26"/>
    <d v="2027-04-03T00:00:00"/>
  </r>
  <r>
    <d v="2026-03-13T00:00:00"/>
    <x v="12"/>
    <x v="5"/>
    <x v="1"/>
    <n v="2.65"/>
    <n v="4.49"/>
    <n v="14"/>
    <n v="26"/>
    <n v="14"/>
    <d v="2028-04-15T00:00:00"/>
  </r>
  <r>
    <d v="2026-03-13T00:00:00"/>
    <x v="1"/>
    <x v="1"/>
    <x v="4"/>
    <n v="1.1200000000000001"/>
    <n v="1.93"/>
    <n v="10"/>
    <n v="38"/>
    <n v="7"/>
    <d v="2028-11-24T00:00:00"/>
  </r>
  <r>
    <d v="2026-03-13T00:00:00"/>
    <x v="21"/>
    <x v="2"/>
    <x v="5"/>
    <n v="0.94"/>
    <n v="1.4"/>
    <n v="17"/>
    <n v="120"/>
    <n v="39"/>
    <d v="2028-01-04T00:00:00"/>
  </r>
  <r>
    <d v="2026-03-13T00:00:00"/>
    <x v="5"/>
    <x v="5"/>
    <x v="1"/>
    <n v="3.26"/>
    <n v="4.96"/>
    <n v="6"/>
    <n v="15"/>
    <n v="6"/>
    <d v="2027-11-10T00:00:00"/>
  </r>
  <r>
    <d v="2026-03-14T00:00:00"/>
    <x v="21"/>
    <x v="2"/>
    <x v="3"/>
    <n v="0.93"/>
    <n v="1.58"/>
    <n v="20"/>
    <n v="62"/>
    <n v="26"/>
    <d v="2027-11-27T00:00:00"/>
  </r>
  <r>
    <d v="2026-03-14T00:00:00"/>
    <x v="27"/>
    <x v="9"/>
    <x v="1"/>
    <n v="1.7"/>
    <n v="2.41"/>
    <n v="3"/>
    <n v="5"/>
    <n v="12"/>
    <d v="2028-10-09T00:00:00"/>
  </r>
  <r>
    <d v="2026-03-14T00:00:00"/>
    <x v="3"/>
    <x v="3"/>
    <x v="0"/>
    <n v="1.51"/>
    <n v="2.4500000000000002"/>
    <n v="10"/>
    <n v="39"/>
    <n v="22"/>
    <d v="2028-04-29T00:00:00"/>
  </r>
  <r>
    <d v="2026-03-15T00:00:00"/>
    <x v="15"/>
    <x v="9"/>
    <x v="3"/>
    <n v="1.68"/>
    <n v="2.86"/>
    <n v="8"/>
    <n v="41"/>
    <n v="12"/>
    <d v="2028-03-18T00:00:00"/>
  </r>
  <r>
    <d v="2026-03-16T00:00:00"/>
    <x v="3"/>
    <x v="3"/>
    <x v="6"/>
    <n v="1.66"/>
    <n v="2.34"/>
    <n v="11"/>
    <n v="59"/>
    <n v="11"/>
    <d v="2027-06-13T00:00:00"/>
  </r>
  <r>
    <d v="2026-03-16T00:00:00"/>
    <x v="16"/>
    <x v="10"/>
    <x v="5"/>
    <n v="1.89"/>
    <n v="3.17"/>
    <n v="14"/>
    <n v="63"/>
    <n v="17"/>
    <d v="2028-05-07T00:00:00"/>
  </r>
  <r>
    <d v="2026-03-17T00:00:00"/>
    <x v="18"/>
    <x v="11"/>
    <x v="1"/>
    <n v="0.41"/>
    <n v="0.64"/>
    <n v="19"/>
    <n v="12"/>
    <n v="17"/>
    <d v="2028-10-14T00:00:00"/>
  </r>
  <r>
    <d v="2026-03-17T00:00:00"/>
    <x v="29"/>
    <x v="7"/>
    <x v="1"/>
    <n v="1.8"/>
    <n v="2.98"/>
    <n v="18"/>
    <n v="89"/>
    <n v="18"/>
    <d v="2028-03-20T00:00:00"/>
  </r>
  <r>
    <d v="2026-03-17T00:00:00"/>
    <x v="9"/>
    <x v="4"/>
    <x v="0"/>
    <n v="2.27"/>
    <n v="3.37"/>
    <n v="11"/>
    <n v="54"/>
    <n v="12"/>
    <d v="2027-02-26T00:00:00"/>
  </r>
  <r>
    <d v="2026-03-18T00:00:00"/>
    <x v="13"/>
    <x v="6"/>
    <x v="0"/>
    <n v="4.32"/>
    <n v="6.9"/>
    <n v="7"/>
    <n v="11"/>
    <n v="19"/>
    <d v="2028-07-20T00:00:00"/>
  </r>
  <r>
    <d v="2026-03-19T00:00:00"/>
    <x v="20"/>
    <x v="10"/>
    <x v="0"/>
    <n v="3.22"/>
    <n v="4.84"/>
    <n v="6"/>
    <n v="59"/>
    <n v="14"/>
    <d v="2027-06-27T00:00:00"/>
  </r>
  <r>
    <d v="2026-03-23T00:00:00"/>
    <x v="2"/>
    <x v="2"/>
    <x v="5"/>
    <n v="0.99"/>
    <n v="1.68"/>
    <n v="13"/>
    <n v="68"/>
    <n v="30"/>
    <d v="2026-10-26T00:00:00"/>
  </r>
  <r>
    <d v="2026-03-24T00:00:00"/>
    <x v="17"/>
    <x v="8"/>
    <x v="2"/>
    <n v="1.47"/>
    <n v="2.37"/>
    <n v="11"/>
    <n v="34"/>
    <n v="16"/>
    <d v="2026-11-24T00:00:00"/>
  </r>
  <r>
    <d v="2026-03-25T00:00:00"/>
    <x v="23"/>
    <x v="1"/>
    <x v="5"/>
    <n v="2.0699999999999998"/>
    <n v="3.57"/>
    <n v="33"/>
    <n v="50"/>
    <n v="35"/>
    <d v="2027-10-22T00:00:00"/>
  </r>
  <r>
    <d v="2026-03-25T00:00:00"/>
    <x v="26"/>
    <x v="9"/>
    <x v="0"/>
    <n v="2.19"/>
    <n v="3.26"/>
    <n v="6"/>
    <n v="12"/>
    <n v="6"/>
    <d v="2027-09-04T00:00:00"/>
  </r>
  <r>
    <d v="2026-03-27T00:00:00"/>
    <x v="15"/>
    <x v="9"/>
    <x v="1"/>
    <n v="1.61"/>
    <n v="2.19"/>
    <n v="8"/>
    <n v="8"/>
    <n v="18"/>
    <d v="2027-12-01T00:00:00"/>
  </r>
  <r>
    <d v="2026-03-27T00:00:00"/>
    <x v="1"/>
    <x v="1"/>
    <x v="1"/>
    <n v="1.1200000000000001"/>
    <n v="1.84"/>
    <n v="7"/>
    <n v="32"/>
    <n v="9"/>
    <d v="2027-01-20T00:00:00"/>
  </r>
  <r>
    <d v="2026-03-28T00:00:00"/>
    <x v="25"/>
    <x v="8"/>
    <x v="2"/>
    <n v="1.18"/>
    <n v="1.65"/>
    <n v="30"/>
    <n v="17"/>
    <n v="55"/>
    <d v="2028-09-26T00:00:00"/>
  </r>
  <r>
    <d v="2026-03-29T00:00:00"/>
    <x v="2"/>
    <x v="2"/>
    <x v="5"/>
    <n v="0.98"/>
    <n v="1.39"/>
    <n v="14"/>
    <n v="16"/>
    <n v="27"/>
    <d v="2027-11-10T00:00:00"/>
  </r>
  <r>
    <d v="2026-03-30T00:00:00"/>
    <x v="1"/>
    <x v="1"/>
    <x v="2"/>
    <n v="1.17"/>
    <n v="1.6"/>
    <n v="8"/>
    <n v="31"/>
    <n v="14"/>
    <d v="2027-01-09T00:00:00"/>
  </r>
  <r>
    <d v="2026-03-30T00:00:00"/>
    <x v="13"/>
    <x v="6"/>
    <x v="2"/>
    <n v="4.29"/>
    <n v="6.51"/>
    <n v="13"/>
    <n v="5"/>
    <n v="15"/>
    <d v="2028-10-06T00:00:00"/>
  </r>
  <r>
    <d v="2026-03-31T00:00:00"/>
    <x v="25"/>
    <x v="8"/>
    <x v="5"/>
    <n v="1.0900000000000001"/>
    <n v="1.73"/>
    <n v="34"/>
    <n v="83"/>
    <n v="29"/>
    <d v="2027-12-02T00:00:00"/>
  </r>
  <r>
    <d v="2026-03-31T00:00:00"/>
    <x v="10"/>
    <x v="0"/>
    <x v="3"/>
    <n v="1.19"/>
    <n v="1.63"/>
    <n v="34"/>
    <n v="46"/>
    <n v="57"/>
    <d v="2027-09-22T00:00:00"/>
  </r>
  <r>
    <d v="2026-03-31T00:00:00"/>
    <x v="22"/>
    <x v="6"/>
    <x v="1"/>
    <n v="3.51"/>
    <n v="4.8499999999999996"/>
    <n v="15"/>
    <n v="99"/>
    <n v="35"/>
    <d v="2027-02-12T00:00:00"/>
  </r>
  <r>
    <d v="2026-04-01T00:00:00"/>
    <x v="3"/>
    <x v="3"/>
    <x v="2"/>
    <n v="1.67"/>
    <n v="2.58"/>
    <n v="14"/>
    <n v="41"/>
    <n v="11"/>
    <d v="2027-06-03T00:00:00"/>
  </r>
  <r>
    <d v="2026-04-01T00:00:00"/>
    <x v="16"/>
    <x v="10"/>
    <x v="0"/>
    <n v="1.96"/>
    <n v="2.67"/>
    <n v="18"/>
    <n v="33"/>
    <n v="15"/>
    <d v="2027-09-13T00:00:00"/>
  </r>
  <r>
    <d v="2026-04-03T00:00:00"/>
    <x v="24"/>
    <x v="7"/>
    <x v="6"/>
    <n v="1.08"/>
    <n v="1.49"/>
    <n v="12"/>
    <n v="32"/>
    <n v="29"/>
    <d v="2028-03-20T00:00:00"/>
  </r>
  <r>
    <d v="2026-04-03T00:00:00"/>
    <x v="3"/>
    <x v="3"/>
    <x v="0"/>
    <n v="1.55"/>
    <n v="2.69"/>
    <n v="6"/>
    <n v="33"/>
    <n v="22"/>
    <d v="2028-01-05T00:00:00"/>
  </r>
  <r>
    <d v="2026-04-04T00:00:00"/>
    <x v="17"/>
    <x v="8"/>
    <x v="5"/>
    <n v="1.42"/>
    <n v="2.4"/>
    <n v="15"/>
    <n v="14"/>
    <n v="35"/>
    <d v="2028-01-12T00:00:00"/>
  </r>
  <r>
    <d v="2026-04-04T00:00:00"/>
    <x v="26"/>
    <x v="9"/>
    <x v="3"/>
    <n v="2.2400000000000002"/>
    <n v="3.8"/>
    <n v="5"/>
    <n v="16"/>
    <n v="12"/>
    <d v="2028-02-05T00:00:00"/>
  </r>
  <r>
    <d v="2026-04-04T00:00:00"/>
    <x v="16"/>
    <x v="10"/>
    <x v="3"/>
    <n v="2.14"/>
    <n v="3.59"/>
    <n v="7"/>
    <n v="54"/>
    <n v="15"/>
    <d v="2028-11-09T00:00:00"/>
  </r>
  <r>
    <d v="2026-04-04T00:00:00"/>
    <x v="11"/>
    <x v="8"/>
    <x v="6"/>
    <n v="3.27"/>
    <n v="5.0999999999999996"/>
    <n v="10"/>
    <n v="23"/>
    <n v="20"/>
    <d v="2027-01-23T00:00:00"/>
  </r>
  <r>
    <d v="2026-04-05T00:00:00"/>
    <x v="17"/>
    <x v="8"/>
    <x v="4"/>
    <n v="1.35"/>
    <n v="2.1"/>
    <n v="23"/>
    <n v="18"/>
    <n v="28"/>
    <d v="2027-06-13T00:00:00"/>
  </r>
  <r>
    <d v="2026-04-05T00:00:00"/>
    <x v="29"/>
    <x v="7"/>
    <x v="1"/>
    <n v="1.95"/>
    <n v="2.72"/>
    <n v="10"/>
    <n v="77"/>
    <n v="24"/>
    <d v="2028-09-13T00:00:00"/>
  </r>
  <r>
    <d v="2026-04-06T00:00:00"/>
    <x v="4"/>
    <x v="4"/>
    <x v="0"/>
    <n v="1.83"/>
    <n v="2.5299999999999998"/>
    <n v="25"/>
    <n v="66"/>
    <n v="26"/>
    <d v="2026-11-11T00:00:00"/>
  </r>
  <r>
    <d v="2026-04-06T00:00:00"/>
    <x v="3"/>
    <x v="3"/>
    <x v="4"/>
    <n v="1.58"/>
    <n v="2.5099999999999998"/>
    <n v="9"/>
    <n v="18"/>
    <n v="17"/>
    <d v="2027-03-28T00:00:00"/>
  </r>
  <r>
    <d v="2026-04-06T00:00:00"/>
    <x v="0"/>
    <x v="0"/>
    <x v="2"/>
    <n v="1.76"/>
    <n v="2.57"/>
    <n v="25"/>
    <n v="44"/>
    <n v="21"/>
    <d v="2028-11-28T00:00:00"/>
  </r>
  <r>
    <d v="2026-04-07T00:00:00"/>
    <x v="27"/>
    <x v="9"/>
    <x v="6"/>
    <n v="1.87"/>
    <n v="2.7"/>
    <n v="4"/>
    <n v="15"/>
    <n v="8"/>
    <d v="2028-03-04T00:00:00"/>
  </r>
  <r>
    <d v="2026-04-08T00:00:00"/>
    <x v="12"/>
    <x v="5"/>
    <x v="3"/>
    <n v="2.69"/>
    <n v="4.21"/>
    <n v="9"/>
    <n v="51"/>
    <n v="14"/>
    <d v="2028-11-21T00:00:00"/>
  </r>
  <r>
    <d v="2026-04-08T00:00:00"/>
    <x v="28"/>
    <x v="3"/>
    <x v="6"/>
    <n v="1.25"/>
    <n v="1.8"/>
    <n v="10"/>
    <n v="32"/>
    <n v="9"/>
    <d v="2027-11-26T00:00:00"/>
  </r>
  <r>
    <d v="2026-04-09T00:00:00"/>
    <x v="12"/>
    <x v="5"/>
    <x v="4"/>
    <n v="2.5"/>
    <n v="4.07"/>
    <n v="11"/>
    <n v="52"/>
    <n v="17"/>
    <d v="2028-01-21T00:00:00"/>
  </r>
  <r>
    <d v="2026-04-09T00:00:00"/>
    <x v="16"/>
    <x v="10"/>
    <x v="0"/>
    <n v="1.94"/>
    <n v="2.81"/>
    <n v="16"/>
    <n v="57"/>
    <n v="13"/>
    <d v="2027-08-27T00:00:00"/>
  </r>
  <r>
    <d v="2026-04-10T00:00:00"/>
    <x v="6"/>
    <x v="0"/>
    <x v="1"/>
    <n v="1.58"/>
    <n v="2.4700000000000002"/>
    <n v="19"/>
    <n v="90"/>
    <n v="28"/>
    <d v="2028-11-07T00:00:00"/>
  </r>
  <r>
    <d v="2026-04-11T00:00:00"/>
    <x v="28"/>
    <x v="3"/>
    <x v="5"/>
    <n v="1.33"/>
    <n v="2.0299999999999998"/>
    <n v="12"/>
    <n v="41"/>
    <n v="20"/>
    <d v="2027-09-24T00:00:00"/>
  </r>
  <r>
    <d v="2026-04-11T00:00:00"/>
    <x v="23"/>
    <x v="1"/>
    <x v="5"/>
    <n v="2.0299999999999998"/>
    <n v="3.36"/>
    <n v="37"/>
    <n v="137"/>
    <n v="40"/>
    <d v="2028-07-02T00:00:00"/>
  </r>
  <r>
    <d v="2026-04-12T00:00:00"/>
    <x v="13"/>
    <x v="6"/>
    <x v="4"/>
    <n v="4.4800000000000004"/>
    <n v="7.35"/>
    <n v="15"/>
    <n v="53"/>
    <n v="23"/>
    <d v="2027-11-01T00:00:00"/>
  </r>
  <r>
    <d v="2026-04-13T00:00:00"/>
    <x v="25"/>
    <x v="8"/>
    <x v="4"/>
    <n v="1.1100000000000001"/>
    <n v="1.85"/>
    <n v="14"/>
    <n v="87"/>
    <n v="42"/>
    <d v="2028-02-04T00:00:00"/>
  </r>
  <r>
    <d v="2026-04-13T00:00:00"/>
    <x v="24"/>
    <x v="7"/>
    <x v="0"/>
    <n v="1.19"/>
    <n v="1.78"/>
    <n v="13"/>
    <n v="41"/>
    <n v="22"/>
    <d v="2026-11-07T00:00:00"/>
  </r>
  <r>
    <d v="2026-04-14T00:00:00"/>
    <x v="4"/>
    <x v="4"/>
    <x v="1"/>
    <n v="1.72"/>
    <n v="2.75"/>
    <n v="15"/>
    <n v="42"/>
    <n v="47"/>
    <d v="2028-06-20T00:00:00"/>
  </r>
  <r>
    <d v="2026-04-14T00:00:00"/>
    <x v="17"/>
    <x v="8"/>
    <x v="4"/>
    <n v="1.37"/>
    <n v="2.33"/>
    <n v="19"/>
    <n v="58"/>
    <n v="20"/>
    <d v="2027-09-19T00:00:00"/>
  </r>
  <r>
    <d v="2026-04-15T00:00:00"/>
    <x v="4"/>
    <x v="4"/>
    <x v="0"/>
    <n v="1.65"/>
    <n v="2.34"/>
    <n v="26"/>
    <n v="100"/>
    <n v="29"/>
    <d v="2028-02-29T00:00:00"/>
  </r>
  <r>
    <d v="2026-04-15T00:00:00"/>
    <x v="13"/>
    <x v="6"/>
    <x v="3"/>
    <n v="4.3"/>
    <n v="6.16"/>
    <n v="9"/>
    <n v="43"/>
    <n v="13"/>
    <d v="2028-11-15T00:00:00"/>
  </r>
  <r>
    <d v="2026-04-16T00:00:00"/>
    <x v="6"/>
    <x v="0"/>
    <x v="5"/>
    <n v="1.58"/>
    <n v="2.31"/>
    <n v="24"/>
    <n v="57"/>
    <n v="19"/>
    <d v="2027-08-30T00:00:00"/>
  </r>
  <r>
    <d v="2026-04-16T00:00:00"/>
    <x v="28"/>
    <x v="3"/>
    <x v="5"/>
    <n v="1.36"/>
    <n v="1.98"/>
    <n v="7"/>
    <n v="9"/>
    <n v="8"/>
    <d v="2027-05-01T00:00:00"/>
  </r>
  <r>
    <d v="2026-04-17T00:00:00"/>
    <x v="15"/>
    <x v="9"/>
    <x v="4"/>
    <n v="1.64"/>
    <n v="2.78"/>
    <n v="8"/>
    <n v="7"/>
    <n v="17"/>
    <d v="2028-03-08T00:00:00"/>
  </r>
  <r>
    <d v="2026-04-18T00:00:00"/>
    <x v="20"/>
    <x v="10"/>
    <x v="2"/>
    <n v="2.94"/>
    <n v="5.14"/>
    <n v="12"/>
    <n v="39"/>
    <n v="22"/>
    <d v="2027-04-02T00:00:00"/>
  </r>
  <r>
    <d v="2026-04-19T00:00:00"/>
    <x v="14"/>
    <x v="1"/>
    <x v="6"/>
    <n v="2.78"/>
    <n v="3.94"/>
    <n v="22"/>
    <n v="28"/>
    <n v="18"/>
    <d v="2028-10-23T00:00:00"/>
  </r>
  <r>
    <d v="2026-04-20T00:00:00"/>
    <x v="26"/>
    <x v="9"/>
    <x v="2"/>
    <n v="2.11"/>
    <n v="3.04"/>
    <n v="7"/>
    <n v="13"/>
    <n v="10"/>
    <d v="2028-03-27T00:00:00"/>
  </r>
  <r>
    <d v="2026-04-20T00:00:00"/>
    <x v="14"/>
    <x v="1"/>
    <x v="5"/>
    <n v="2.72"/>
    <n v="4"/>
    <n v="20"/>
    <n v="81"/>
    <n v="28"/>
    <d v="2028-07-21T00:00:00"/>
  </r>
  <r>
    <d v="2026-04-21T00:00:00"/>
    <x v="14"/>
    <x v="1"/>
    <x v="4"/>
    <n v="2.57"/>
    <n v="4.3099999999999996"/>
    <n v="12"/>
    <n v="33"/>
    <n v="27"/>
    <d v="2027-02-23T00:00:00"/>
  </r>
  <r>
    <d v="2026-04-21T00:00:00"/>
    <x v="16"/>
    <x v="10"/>
    <x v="6"/>
    <n v="2.14"/>
    <n v="3.49"/>
    <n v="7"/>
    <n v="29"/>
    <n v="15"/>
    <d v="2028-12-21T00:00:00"/>
  </r>
  <r>
    <d v="2026-04-22T00:00:00"/>
    <x v="11"/>
    <x v="8"/>
    <x v="5"/>
    <n v="3.23"/>
    <n v="5.41"/>
    <n v="18"/>
    <n v="33"/>
    <n v="26"/>
    <d v="2028-11-20T00:00:00"/>
  </r>
  <r>
    <d v="2026-04-22T00:00:00"/>
    <x v="11"/>
    <x v="8"/>
    <x v="4"/>
    <n v="3.08"/>
    <n v="4.33"/>
    <n v="15"/>
    <n v="67"/>
    <n v="23"/>
    <d v="2027-03-03T00:00:00"/>
  </r>
  <r>
    <d v="2026-04-22T00:00:00"/>
    <x v="16"/>
    <x v="10"/>
    <x v="3"/>
    <n v="1.9"/>
    <n v="2.63"/>
    <n v="15"/>
    <n v="35"/>
    <n v="12"/>
    <d v="2027-05-27T00:00:00"/>
  </r>
  <r>
    <d v="2026-04-22T00:00:00"/>
    <x v="1"/>
    <x v="1"/>
    <x v="3"/>
    <n v="1.0900000000000001"/>
    <n v="1.77"/>
    <n v="4"/>
    <n v="30"/>
    <n v="6"/>
    <d v="2028-07-26T00:00:00"/>
  </r>
  <r>
    <d v="2026-04-23T00:00:00"/>
    <x v="14"/>
    <x v="1"/>
    <x v="4"/>
    <n v="2.64"/>
    <n v="4.2699999999999996"/>
    <n v="20"/>
    <n v="35"/>
    <n v="29"/>
    <d v="2027-08-23T00:00:00"/>
  </r>
  <r>
    <d v="2026-04-23T00:00:00"/>
    <x v="16"/>
    <x v="10"/>
    <x v="2"/>
    <n v="1.89"/>
    <n v="2.82"/>
    <n v="19"/>
    <n v="33"/>
    <n v="14"/>
    <d v="2028-09-01T00:00:00"/>
  </r>
  <r>
    <d v="2026-04-23T00:00:00"/>
    <x v="19"/>
    <x v="10"/>
    <x v="5"/>
    <n v="4.45"/>
    <n v="7.44"/>
    <n v="8"/>
    <n v="14"/>
    <n v="11"/>
    <d v="2027-12-01T00:00:00"/>
  </r>
  <r>
    <d v="2026-04-24T00:00:00"/>
    <x v="22"/>
    <x v="6"/>
    <x v="4"/>
    <n v="3.5"/>
    <n v="4.88"/>
    <n v="12"/>
    <n v="35"/>
    <n v="25"/>
    <d v="2027-05-28T00:00:00"/>
  </r>
  <r>
    <d v="2026-04-24T00:00:00"/>
    <x v="29"/>
    <x v="7"/>
    <x v="3"/>
    <n v="1.94"/>
    <n v="2.72"/>
    <n v="25"/>
    <n v="37"/>
    <n v="44"/>
    <d v="2028-04-29T00:00:00"/>
  </r>
  <r>
    <d v="2026-04-25T00:00:00"/>
    <x v="19"/>
    <x v="10"/>
    <x v="6"/>
    <n v="4.72"/>
    <n v="8.09"/>
    <n v="11"/>
    <n v="5"/>
    <n v="18"/>
    <d v="2028-06-12T00:00:00"/>
  </r>
  <r>
    <d v="2026-04-26T00:00:00"/>
    <x v="0"/>
    <x v="0"/>
    <x v="5"/>
    <n v="1.89"/>
    <n v="2.74"/>
    <n v="16"/>
    <n v="114"/>
    <n v="48"/>
    <d v="2028-01-17T00:00:00"/>
  </r>
  <r>
    <d v="2026-04-26T00:00:00"/>
    <x v="1"/>
    <x v="1"/>
    <x v="1"/>
    <n v="1.08"/>
    <n v="1.46"/>
    <n v="8"/>
    <n v="7"/>
    <n v="14"/>
    <d v="2028-05-21T00:00:00"/>
  </r>
  <r>
    <d v="2026-04-26T00:00:00"/>
    <x v="17"/>
    <x v="8"/>
    <x v="3"/>
    <n v="1.45"/>
    <n v="2.34"/>
    <n v="21"/>
    <n v="37"/>
    <n v="25"/>
    <d v="2028-03-11T00:00:00"/>
  </r>
  <r>
    <d v="2026-04-28T00:00:00"/>
    <x v="8"/>
    <x v="7"/>
    <x v="3"/>
    <n v="2.65"/>
    <n v="3.97"/>
    <n v="10"/>
    <n v="80"/>
    <n v="25"/>
    <d v="2028-01-02T00:00:00"/>
  </r>
  <r>
    <d v="2026-04-28T00:00:00"/>
    <x v="19"/>
    <x v="10"/>
    <x v="2"/>
    <n v="4.3600000000000003"/>
    <n v="6.18"/>
    <n v="9"/>
    <n v="20"/>
    <n v="10"/>
    <d v="2027-07-13T00:00:00"/>
  </r>
  <r>
    <d v="2026-04-29T00:00:00"/>
    <x v="12"/>
    <x v="5"/>
    <x v="3"/>
    <n v="2.48"/>
    <n v="4.3099999999999996"/>
    <n v="14"/>
    <n v="41"/>
    <n v="22"/>
    <d v="2028-01-15T00:00:00"/>
  </r>
  <r>
    <d v="2026-04-29T00:00:00"/>
    <x v="1"/>
    <x v="1"/>
    <x v="2"/>
    <n v="1.06"/>
    <n v="1.69"/>
    <n v="6"/>
    <n v="28"/>
    <n v="13"/>
    <d v="2028-08-11T00:00:00"/>
  </r>
  <r>
    <d v="2026-04-29T00:00:00"/>
    <x v="3"/>
    <x v="3"/>
    <x v="3"/>
    <n v="1.53"/>
    <n v="2.16"/>
    <n v="16"/>
    <n v="31"/>
    <n v="18"/>
    <d v="2028-07-03T00:00:00"/>
  </r>
  <r>
    <d v="2026-04-30T00:00:00"/>
    <x v="26"/>
    <x v="9"/>
    <x v="1"/>
    <n v="2.31"/>
    <n v="3.66"/>
    <n v="6"/>
    <n v="14"/>
    <n v="5"/>
    <d v="2027-01-06T00:00:00"/>
  </r>
  <r>
    <d v="2026-05-02T00:00:00"/>
    <x v="21"/>
    <x v="2"/>
    <x v="1"/>
    <n v="0.92"/>
    <n v="1.47"/>
    <n v="24"/>
    <n v="105"/>
    <n v="33"/>
    <d v="2028-06-17T00:00:00"/>
  </r>
  <r>
    <d v="2026-05-05T00:00:00"/>
    <x v="26"/>
    <x v="9"/>
    <x v="3"/>
    <n v="2.25"/>
    <n v="3.91"/>
    <n v="3"/>
    <n v="26"/>
    <n v="7"/>
    <d v="2028-09-17T00:00:00"/>
  </r>
  <r>
    <d v="2026-05-05T00:00:00"/>
    <x v="8"/>
    <x v="7"/>
    <x v="6"/>
    <n v="3"/>
    <n v="4.5599999999999996"/>
    <n v="10"/>
    <n v="79"/>
    <n v="28"/>
    <d v="2027-05-14T00:00:00"/>
  </r>
  <r>
    <d v="2026-05-06T00:00:00"/>
    <x v="4"/>
    <x v="4"/>
    <x v="5"/>
    <n v="1.82"/>
    <n v="2.5299999999999998"/>
    <n v="14"/>
    <n v="82"/>
    <n v="29"/>
    <d v="2028-01-04T00:00:00"/>
  </r>
  <r>
    <d v="2026-05-07T00:00:00"/>
    <x v="16"/>
    <x v="10"/>
    <x v="1"/>
    <n v="1.98"/>
    <n v="2.68"/>
    <n v="15"/>
    <n v="9"/>
    <n v="26"/>
    <d v="2028-05-09T00:00:00"/>
  </r>
  <r>
    <d v="2026-05-07T00:00:00"/>
    <x v="11"/>
    <x v="8"/>
    <x v="2"/>
    <n v="3.08"/>
    <n v="4.6500000000000004"/>
    <n v="8"/>
    <n v="45"/>
    <n v="23"/>
    <d v="2028-03-25T00:00:00"/>
  </r>
  <r>
    <d v="2026-05-08T00:00:00"/>
    <x v="5"/>
    <x v="5"/>
    <x v="1"/>
    <n v="3.17"/>
    <n v="5.29"/>
    <n v="3"/>
    <n v="13"/>
    <n v="10"/>
    <d v="2028-04-24T00:00:00"/>
  </r>
  <r>
    <d v="2026-05-08T00:00:00"/>
    <x v="26"/>
    <x v="9"/>
    <x v="1"/>
    <n v="2.09"/>
    <n v="2.97"/>
    <n v="4"/>
    <n v="23"/>
    <n v="5"/>
    <d v="2027-04-30T00:00:00"/>
  </r>
  <r>
    <d v="2026-05-08T00:00:00"/>
    <x v="18"/>
    <x v="11"/>
    <x v="0"/>
    <n v="0.4"/>
    <n v="0.56999999999999995"/>
    <n v="18"/>
    <n v="8"/>
    <n v="19"/>
    <d v="2027-09-13T00:00:00"/>
  </r>
  <r>
    <d v="2026-05-09T00:00:00"/>
    <x v="6"/>
    <x v="0"/>
    <x v="0"/>
    <n v="1.59"/>
    <n v="2.35"/>
    <n v="19"/>
    <n v="20"/>
    <n v="21"/>
    <d v="2028-11-24T00:00:00"/>
  </r>
  <r>
    <d v="2026-05-10T00:00:00"/>
    <x v="4"/>
    <x v="4"/>
    <x v="2"/>
    <n v="1.83"/>
    <n v="3.03"/>
    <n v="13"/>
    <n v="111"/>
    <n v="42"/>
    <d v="2028-10-23T00:00:00"/>
  </r>
  <r>
    <d v="2026-05-11T00:00:00"/>
    <x v="6"/>
    <x v="0"/>
    <x v="1"/>
    <n v="1.52"/>
    <n v="2.1"/>
    <n v="19"/>
    <n v="54"/>
    <n v="14"/>
    <d v="2028-01-14T00:00:00"/>
  </r>
  <r>
    <d v="2026-05-11T00:00:00"/>
    <x v="0"/>
    <x v="0"/>
    <x v="2"/>
    <n v="1.88"/>
    <n v="2.88"/>
    <n v="22"/>
    <n v="61"/>
    <n v="33"/>
    <d v="2026-12-22T00:00:00"/>
  </r>
  <r>
    <d v="2026-05-12T00:00:00"/>
    <x v="6"/>
    <x v="0"/>
    <x v="0"/>
    <n v="1.47"/>
    <n v="2.0099999999999998"/>
    <n v="22"/>
    <n v="39"/>
    <n v="30"/>
    <d v="2027-08-09T00:00:00"/>
  </r>
  <r>
    <d v="2026-05-12T00:00:00"/>
    <x v="2"/>
    <x v="2"/>
    <x v="3"/>
    <n v="0.99"/>
    <n v="1.39"/>
    <n v="10"/>
    <n v="63"/>
    <n v="18"/>
    <d v="2027-06-26T00:00:00"/>
  </r>
  <r>
    <d v="2026-05-13T00:00:00"/>
    <x v="4"/>
    <x v="4"/>
    <x v="0"/>
    <n v="1.61"/>
    <n v="2.7"/>
    <n v="30"/>
    <n v="25"/>
    <n v="43"/>
    <d v="2027-03-24T00:00:00"/>
  </r>
  <r>
    <d v="2026-05-16T00:00:00"/>
    <x v="19"/>
    <x v="10"/>
    <x v="0"/>
    <n v="4.78"/>
    <n v="6.54"/>
    <n v="9"/>
    <n v="23"/>
    <n v="13"/>
    <d v="2027-03-18T00:00:00"/>
  </r>
  <r>
    <d v="2026-05-17T00:00:00"/>
    <x v="26"/>
    <x v="9"/>
    <x v="6"/>
    <n v="2.17"/>
    <n v="3.61"/>
    <n v="8"/>
    <n v="2"/>
    <n v="5"/>
    <d v="2027-06-24T00:00:00"/>
  </r>
  <r>
    <d v="2026-05-17T00:00:00"/>
    <x v="18"/>
    <x v="11"/>
    <x v="6"/>
    <n v="0.42"/>
    <n v="0.6"/>
    <n v="19"/>
    <n v="38"/>
    <n v="28"/>
    <d v="2028-11-23T00:00:00"/>
  </r>
  <r>
    <d v="2026-05-18T00:00:00"/>
    <x v="16"/>
    <x v="10"/>
    <x v="6"/>
    <n v="1.92"/>
    <n v="2.89"/>
    <n v="7"/>
    <n v="22"/>
    <n v="30"/>
    <d v="2028-12-19T00:00:00"/>
  </r>
  <r>
    <d v="2026-05-18T00:00:00"/>
    <x v="14"/>
    <x v="1"/>
    <x v="0"/>
    <n v="2.5299999999999998"/>
    <n v="4.04"/>
    <n v="12"/>
    <n v="60"/>
    <n v="27"/>
    <d v="2027-05-03T00:00:00"/>
  </r>
  <r>
    <d v="2026-05-18T00:00:00"/>
    <x v="21"/>
    <x v="2"/>
    <x v="3"/>
    <n v="0.87"/>
    <n v="1.48"/>
    <n v="29"/>
    <n v="61"/>
    <n v="43"/>
    <d v="2027-02-17T00:00:00"/>
  </r>
  <r>
    <d v="2026-05-19T00:00:00"/>
    <x v="20"/>
    <x v="10"/>
    <x v="1"/>
    <n v="2.87"/>
    <n v="5.01"/>
    <n v="10"/>
    <n v="50"/>
    <n v="13"/>
    <d v="2026-11-12T00:00:00"/>
  </r>
  <r>
    <d v="2026-05-19T00:00:00"/>
    <x v="18"/>
    <x v="11"/>
    <x v="5"/>
    <n v="0.38"/>
    <n v="0.56999999999999995"/>
    <n v="9"/>
    <n v="56"/>
    <n v="28"/>
    <d v="2028-10-01T00:00:00"/>
  </r>
  <r>
    <d v="2026-05-19T00:00:00"/>
    <x v="24"/>
    <x v="7"/>
    <x v="2"/>
    <n v="1.1200000000000001"/>
    <n v="1.64"/>
    <n v="24"/>
    <n v="57"/>
    <n v="17"/>
    <d v="2027-07-12T00:00:00"/>
  </r>
  <r>
    <d v="2026-05-20T00:00:00"/>
    <x v="4"/>
    <x v="4"/>
    <x v="3"/>
    <n v="1.7"/>
    <n v="2.93"/>
    <n v="26"/>
    <n v="116"/>
    <n v="38"/>
    <d v="2028-06-15T00:00:00"/>
  </r>
  <r>
    <d v="2026-05-20T00:00:00"/>
    <x v="10"/>
    <x v="0"/>
    <x v="5"/>
    <n v="1.28"/>
    <n v="1.83"/>
    <n v="20"/>
    <n v="87"/>
    <n v="70"/>
    <d v="2028-05-13T00:00:00"/>
  </r>
  <r>
    <d v="2026-05-20T00:00:00"/>
    <x v="5"/>
    <x v="5"/>
    <x v="3"/>
    <n v="2.93"/>
    <n v="4.43"/>
    <n v="4"/>
    <n v="11"/>
    <n v="6"/>
    <d v="2027-01-22T00:00:00"/>
  </r>
  <r>
    <d v="2026-05-21T00:00:00"/>
    <x v="22"/>
    <x v="6"/>
    <x v="6"/>
    <n v="3.33"/>
    <n v="5.39"/>
    <n v="23"/>
    <n v="59"/>
    <n v="40"/>
    <d v="2026-10-31T00:00:00"/>
  </r>
  <r>
    <d v="2026-05-21T00:00:00"/>
    <x v="0"/>
    <x v="0"/>
    <x v="1"/>
    <n v="1.87"/>
    <n v="3.03"/>
    <n v="15"/>
    <n v="26"/>
    <n v="49"/>
    <d v="2028-05-31T00:00:00"/>
  </r>
  <r>
    <d v="2026-05-22T00:00:00"/>
    <x v="6"/>
    <x v="0"/>
    <x v="3"/>
    <n v="1.45"/>
    <n v="2.44"/>
    <n v="20"/>
    <n v="36"/>
    <n v="33"/>
    <d v="2027-08-20T00:00:00"/>
  </r>
  <r>
    <d v="2026-05-22T00:00:00"/>
    <x v="0"/>
    <x v="0"/>
    <x v="2"/>
    <n v="1.79"/>
    <n v="3.03"/>
    <n v="24"/>
    <n v="121"/>
    <n v="33"/>
    <d v="2027-02-23T00:00:00"/>
  </r>
  <r>
    <d v="2026-05-23T00:00:00"/>
    <x v="21"/>
    <x v="2"/>
    <x v="5"/>
    <n v="0.85"/>
    <n v="1.18"/>
    <n v="34"/>
    <n v="61"/>
    <n v="31"/>
    <d v="2028-09-09T00:00:00"/>
  </r>
  <r>
    <d v="2026-05-23T00:00:00"/>
    <x v="20"/>
    <x v="10"/>
    <x v="6"/>
    <n v="2.93"/>
    <n v="4.97"/>
    <n v="6"/>
    <n v="54"/>
    <n v="15"/>
    <d v="2028-04-23T00:00:00"/>
  </r>
  <r>
    <d v="2026-05-23T00:00:00"/>
    <x v="25"/>
    <x v="8"/>
    <x v="1"/>
    <n v="1.07"/>
    <n v="1.87"/>
    <n v="20"/>
    <n v="83"/>
    <n v="49"/>
    <d v="2027-08-07T00:00:00"/>
  </r>
  <r>
    <d v="2026-05-23T00:00:00"/>
    <x v="3"/>
    <x v="3"/>
    <x v="1"/>
    <n v="1.68"/>
    <n v="2.52"/>
    <n v="8"/>
    <n v="16"/>
    <n v="18"/>
    <d v="2028-01-19T00:00:00"/>
  </r>
  <r>
    <d v="2026-05-23T00:00:00"/>
    <x v="6"/>
    <x v="0"/>
    <x v="6"/>
    <n v="1.41"/>
    <n v="1.99"/>
    <n v="10"/>
    <n v="66"/>
    <n v="19"/>
    <d v="2028-02-16T00:00:00"/>
  </r>
  <r>
    <d v="2026-05-24T00:00:00"/>
    <x v="15"/>
    <x v="9"/>
    <x v="6"/>
    <n v="1.79"/>
    <n v="3.03"/>
    <n v="10"/>
    <n v="24"/>
    <n v="12"/>
    <d v="2027-02-16T00:00:00"/>
  </r>
  <r>
    <d v="2026-05-25T00:00:00"/>
    <x v="6"/>
    <x v="0"/>
    <x v="1"/>
    <n v="1.6"/>
    <n v="2.56"/>
    <n v="24"/>
    <n v="55"/>
    <n v="18"/>
    <d v="2028-12-30T00:00:00"/>
  </r>
  <r>
    <d v="2026-05-25T00:00:00"/>
    <x v="13"/>
    <x v="6"/>
    <x v="2"/>
    <n v="4.49"/>
    <n v="6.46"/>
    <n v="16"/>
    <n v="22"/>
    <n v="14"/>
    <d v="2027-03-29T00:00:00"/>
  </r>
  <r>
    <d v="2026-05-25T00:00:00"/>
    <x v="17"/>
    <x v="8"/>
    <x v="3"/>
    <n v="1.34"/>
    <n v="1.96"/>
    <n v="24"/>
    <n v="8"/>
    <n v="17"/>
    <d v="2028-02-09T00:00:00"/>
  </r>
  <r>
    <d v="2026-05-26T00:00:00"/>
    <x v="3"/>
    <x v="3"/>
    <x v="3"/>
    <n v="1.66"/>
    <n v="2.2799999999999998"/>
    <n v="16"/>
    <n v="43"/>
    <n v="14"/>
    <d v="2028-01-23T00:00:00"/>
  </r>
  <r>
    <d v="2026-05-27T00:00:00"/>
    <x v="19"/>
    <x v="10"/>
    <x v="4"/>
    <n v="4.33"/>
    <n v="7.09"/>
    <n v="5"/>
    <n v="10"/>
    <n v="14"/>
    <d v="2028-06-24T00:00:00"/>
  </r>
  <r>
    <d v="2026-05-28T00:00:00"/>
    <x v="28"/>
    <x v="3"/>
    <x v="4"/>
    <n v="1.26"/>
    <n v="2.04"/>
    <n v="9"/>
    <n v="37"/>
    <n v="17"/>
    <d v="2027-02-08T00:00:00"/>
  </r>
  <r>
    <d v="2026-05-28T00:00:00"/>
    <x v="23"/>
    <x v="1"/>
    <x v="1"/>
    <n v="2.0299999999999998"/>
    <n v="2.77"/>
    <n v="23"/>
    <n v="121"/>
    <n v="55"/>
    <d v="2027-03-10T00:00:00"/>
  </r>
  <r>
    <d v="2026-05-29T00:00:00"/>
    <x v="19"/>
    <x v="10"/>
    <x v="1"/>
    <n v="4.2699999999999996"/>
    <n v="6.78"/>
    <n v="11"/>
    <n v="11"/>
    <n v="10"/>
    <d v="2028-07-27T00:00:00"/>
  </r>
  <r>
    <d v="2026-05-29T00:00:00"/>
    <x v="2"/>
    <x v="2"/>
    <x v="2"/>
    <n v="1.01"/>
    <n v="1.43"/>
    <n v="15"/>
    <n v="61"/>
    <n v="26"/>
    <d v="2027-11-11T00:00:00"/>
  </r>
  <r>
    <d v="2026-05-29T00:00:00"/>
    <x v="8"/>
    <x v="7"/>
    <x v="3"/>
    <n v="2.79"/>
    <n v="4.58"/>
    <n v="21"/>
    <n v="40"/>
    <n v="15"/>
    <d v="2027-05-07T00:00:00"/>
  </r>
  <r>
    <d v="2026-05-29T00:00:00"/>
    <x v="19"/>
    <x v="10"/>
    <x v="1"/>
    <n v="4.8099999999999996"/>
    <n v="7.85"/>
    <n v="12"/>
    <n v="20"/>
    <n v="15"/>
    <d v="2027-12-14T00:00:00"/>
  </r>
  <r>
    <d v="2026-05-29T00:00:00"/>
    <x v="10"/>
    <x v="0"/>
    <x v="6"/>
    <n v="1.1299999999999999"/>
    <n v="1.96"/>
    <n v="19"/>
    <n v="159"/>
    <n v="66"/>
    <d v="2028-10-05T00:00:00"/>
  </r>
  <r>
    <d v="2026-05-30T00:00:00"/>
    <x v="7"/>
    <x v="6"/>
    <x v="4"/>
    <n v="3.74"/>
    <n v="5.57"/>
    <n v="12"/>
    <n v="29"/>
    <n v="9"/>
    <d v="2028-11-10T00:00:00"/>
  </r>
  <r>
    <d v="2026-05-31T00:00:00"/>
    <x v="6"/>
    <x v="0"/>
    <x v="5"/>
    <n v="1.47"/>
    <n v="2.5499999999999998"/>
    <n v="9"/>
    <n v="53"/>
    <n v="20"/>
    <d v="2028-04-26T00:00:00"/>
  </r>
  <r>
    <d v="2026-06-01T00:00:00"/>
    <x v="20"/>
    <x v="10"/>
    <x v="4"/>
    <n v="3"/>
    <n v="4.8499999999999996"/>
    <n v="13"/>
    <n v="42"/>
    <n v="17"/>
    <d v="2028-12-16T00:00:00"/>
  </r>
  <r>
    <d v="2026-06-02T00:00:00"/>
    <x v="5"/>
    <x v="5"/>
    <x v="5"/>
    <n v="3.02"/>
    <n v="4.6399999999999997"/>
    <n v="3"/>
    <n v="13"/>
    <n v="8"/>
    <d v="2027-02-28T00:00:00"/>
  </r>
  <r>
    <d v="2026-06-04T00:00:00"/>
    <x v="6"/>
    <x v="0"/>
    <x v="4"/>
    <n v="1.51"/>
    <n v="2.14"/>
    <n v="17"/>
    <n v="33"/>
    <n v="25"/>
    <d v="2027-10-28T00:00:00"/>
  </r>
  <r>
    <d v="2026-06-04T00:00:00"/>
    <x v="22"/>
    <x v="6"/>
    <x v="6"/>
    <n v="3.66"/>
    <n v="5.94"/>
    <n v="17"/>
    <n v="92"/>
    <n v="19"/>
    <d v="2027-10-23T00:00:00"/>
  </r>
  <r>
    <d v="2026-06-04T00:00:00"/>
    <x v="0"/>
    <x v="0"/>
    <x v="3"/>
    <n v="1.85"/>
    <n v="2.52"/>
    <n v="16"/>
    <n v="58"/>
    <n v="31"/>
    <d v="2027-08-27T00:00:00"/>
  </r>
  <r>
    <d v="2026-06-05T00:00:00"/>
    <x v="21"/>
    <x v="2"/>
    <x v="2"/>
    <n v="0.91"/>
    <n v="1.31"/>
    <n v="29"/>
    <n v="71"/>
    <n v="25"/>
    <d v="2027-03-14T00:00:00"/>
  </r>
  <r>
    <d v="2026-06-05T00:00:00"/>
    <x v="12"/>
    <x v="5"/>
    <x v="3"/>
    <n v="2.5"/>
    <n v="4.01"/>
    <n v="11"/>
    <n v="32"/>
    <n v="18"/>
    <d v="2027-09-08T00:00:00"/>
  </r>
  <r>
    <d v="2026-06-05T00:00:00"/>
    <x v="9"/>
    <x v="4"/>
    <x v="6"/>
    <n v="2.25"/>
    <n v="3.52"/>
    <n v="9"/>
    <n v="21"/>
    <n v="23"/>
    <d v="2028-05-13T00:00:00"/>
  </r>
  <r>
    <d v="2026-06-07T00:00:00"/>
    <x v="1"/>
    <x v="1"/>
    <x v="5"/>
    <n v="1.1000000000000001"/>
    <n v="1.92"/>
    <n v="9"/>
    <n v="14"/>
    <n v="10"/>
    <d v="2028-07-27T00:00:00"/>
  </r>
  <r>
    <d v="2026-06-09T00:00:00"/>
    <x v="22"/>
    <x v="6"/>
    <x v="2"/>
    <n v="3.59"/>
    <n v="5.13"/>
    <n v="29"/>
    <n v="61"/>
    <n v="30"/>
    <d v="2027-04-07T00:00:00"/>
  </r>
  <r>
    <d v="2026-06-11T00:00:00"/>
    <x v="4"/>
    <x v="4"/>
    <x v="4"/>
    <n v="1.73"/>
    <n v="2.7"/>
    <n v="20"/>
    <n v="65"/>
    <n v="26"/>
    <d v="2027-12-01T00:00:00"/>
  </r>
  <r>
    <d v="2026-06-11T00:00:00"/>
    <x v="21"/>
    <x v="2"/>
    <x v="5"/>
    <n v="0.87"/>
    <n v="1.32"/>
    <n v="23"/>
    <n v="93"/>
    <n v="42"/>
    <d v="2028-04-29T00:00:00"/>
  </r>
  <r>
    <d v="2026-06-12T00:00:00"/>
    <x v="4"/>
    <x v="4"/>
    <x v="3"/>
    <n v="1.66"/>
    <n v="2.64"/>
    <n v="12"/>
    <n v="103"/>
    <n v="39"/>
    <d v="2027-07-14T00:00:00"/>
  </r>
  <r>
    <d v="2026-06-12T00:00:00"/>
    <x v="8"/>
    <x v="7"/>
    <x v="3"/>
    <n v="2.78"/>
    <n v="4.72"/>
    <n v="11"/>
    <n v="45"/>
    <n v="21"/>
    <d v="2027-02-18T00:00:00"/>
  </r>
  <r>
    <d v="2026-06-12T00:00:00"/>
    <x v="12"/>
    <x v="5"/>
    <x v="1"/>
    <n v="2.41"/>
    <n v="3.75"/>
    <n v="8"/>
    <n v="50"/>
    <n v="19"/>
    <d v="2028-01-06T00:00:00"/>
  </r>
  <r>
    <d v="2026-06-12T00:00:00"/>
    <x v="14"/>
    <x v="1"/>
    <x v="4"/>
    <n v="2.46"/>
    <n v="3.63"/>
    <n v="13"/>
    <n v="70"/>
    <n v="21"/>
    <d v="2028-07-28T00:00:00"/>
  </r>
  <r>
    <d v="2026-06-12T00:00:00"/>
    <x v="15"/>
    <x v="9"/>
    <x v="6"/>
    <n v="1.77"/>
    <n v="3.01"/>
    <n v="7"/>
    <n v="6"/>
    <n v="16"/>
    <d v="2027-10-22T00:00:00"/>
  </r>
  <r>
    <d v="2026-06-13T00:00:00"/>
    <x v="18"/>
    <x v="11"/>
    <x v="4"/>
    <n v="0.4"/>
    <n v="0.56999999999999995"/>
    <n v="9"/>
    <n v="61"/>
    <n v="21"/>
    <d v="2028-08-13T00:00:00"/>
  </r>
  <r>
    <d v="2026-06-13T00:00:00"/>
    <x v="25"/>
    <x v="8"/>
    <x v="5"/>
    <n v="1.1399999999999999"/>
    <n v="1.74"/>
    <n v="29"/>
    <n v="54"/>
    <n v="42"/>
    <d v="2027-04-03T00:00:00"/>
  </r>
  <r>
    <d v="2026-06-15T00:00:00"/>
    <x v="3"/>
    <x v="3"/>
    <x v="4"/>
    <n v="1.59"/>
    <n v="2.2999999999999998"/>
    <n v="13"/>
    <n v="16"/>
    <n v="13"/>
    <d v="2028-07-06T00:00:00"/>
  </r>
  <r>
    <d v="2026-06-15T00:00:00"/>
    <x v="23"/>
    <x v="1"/>
    <x v="2"/>
    <n v="1.9"/>
    <n v="2.94"/>
    <n v="24"/>
    <n v="106"/>
    <n v="48"/>
    <d v="2027-03-04T00:00:00"/>
  </r>
  <r>
    <d v="2026-06-15T00:00:00"/>
    <x v="10"/>
    <x v="0"/>
    <x v="1"/>
    <n v="1.24"/>
    <n v="1.87"/>
    <n v="39"/>
    <n v="92"/>
    <n v="30"/>
    <d v="2027-08-25T00:00:00"/>
  </r>
  <r>
    <d v="2026-06-15T00:00:00"/>
    <x v="20"/>
    <x v="10"/>
    <x v="4"/>
    <n v="2.88"/>
    <n v="4.42"/>
    <n v="6"/>
    <n v="53"/>
    <n v="14"/>
    <d v="2028-05-28T00:00:00"/>
  </r>
  <r>
    <d v="2026-06-15T00:00:00"/>
    <x v="2"/>
    <x v="2"/>
    <x v="6"/>
    <n v="1.07"/>
    <n v="1.66"/>
    <n v="11"/>
    <n v="7"/>
    <n v="25"/>
    <d v="2028-08-27T00:00:00"/>
  </r>
  <r>
    <d v="2026-06-15T00:00:00"/>
    <x v="8"/>
    <x v="7"/>
    <x v="2"/>
    <n v="2.74"/>
    <n v="4.76"/>
    <n v="13"/>
    <n v="51"/>
    <n v="16"/>
    <d v="2027-01-25T00:00:00"/>
  </r>
  <r>
    <d v="2026-06-16T00:00:00"/>
    <x v="13"/>
    <x v="6"/>
    <x v="0"/>
    <n v="4.04"/>
    <n v="6.12"/>
    <n v="12"/>
    <n v="21"/>
    <n v="17"/>
    <d v="2028-09-12T00:00:00"/>
  </r>
  <r>
    <d v="2026-06-19T00:00:00"/>
    <x v="25"/>
    <x v="8"/>
    <x v="2"/>
    <n v="1.06"/>
    <n v="1.46"/>
    <n v="19"/>
    <n v="138"/>
    <n v="47"/>
    <d v="2028-02-18T00:00:00"/>
  </r>
  <r>
    <d v="2026-06-20T00:00:00"/>
    <x v="8"/>
    <x v="7"/>
    <x v="4"/>
    <n v="2.83"/>
    <n v="4.29"/>
    <n v="18"/>
    <n v="46"/>
    <n v="25"/>
    <d v="2027-11-22T00:00:00"/>
  </r>
  <r>
    <d v="2026-06-20T00:00:00"/>
    <x v="1"/>
    <x v="1"/>
    <x v="5"/>
    <n v="1.1100000000000001"/>
    <n v="1.94"/>
    <n v="10"/>
    <n v="25"/>
    <n v="12"/>
    <d v="2027-10-09T00:00:00"/>
  </r>
  <r>
    <d v="2026-06-20T00:00:00"/>
    <x v="15"/>
    <x v="9"/>
    <x v="1"/>
    <n v="1.72"/>
    <n v="2.76"/>
    <n v="12"/>
    <n v="9"/>
    <n v="16"/>
    <d v="2028-07-12T00:00:00"/>
  </r>
  <r>
    <d v="2026-06-20T00:00:00"/>
    <x v="5"/>
    <x v="5"/>
    <x v="5"/>
    <n v="3.29"/>
    <n v="5.69"/>
    <n v="4"/>
    <n v="10"/>
    <n v="5"/>
    <d v="2027-09-15T00:00:00"/>
  </r>
  <r>
    <d v="2026-06-23T00:00:00"/>
    <x v="26"/>
    <x v="9"/>
    <x v="2"/>
    <n v="2.2400000000000002"/>
    <n v="3.12"/>
    <n v="3"/>
    <n v="3"/>
    <n v="9"/>
    <d v="2027-10-16T00:00:00"/>
  </r>
  <r>
    <d v="2026-06-24T00:00:00"/>
    <x v="18"/>
    <x v="11"/>
    <x v="3"/>
    <n v="0.4"/>
    <n v="0.55000000000000004"/>
    <n v="13"/>
    <n v="8"/>
    <n v="31"/>
    <d v="2028-07-10T00:00:00"/>
  </r>
  <r>
    <d v="2026-06-24T00:00:00"/>
    <x v="12"/>
    <x v="5"/>
    <x v="1"/>
    <n v="2.59"/>
    <n v="3.88"/>
    <n v="7"/>
    <n v="16"/>
    <n v="21"/>
    <d v="2027-10-27T00:00:00"/>
  </r>
  <r>
    <d v="2026-06-25T00:00:00"/>
    <x v="2"/>
    <x v="2"/>
    <x v="6"/>
    <n v="1.06"/>
    <n v="1.7"/>
    <n v="8"/>
    <n v="38"/>
    <n v="17"/>
    <d v="2028-12-14T00:00:00"/>
  </r>
  <r>
    <d v="2026-06-25T00:00:00"/>
    <x v="24"/>
    <x v="7"/>
    <x v="5"/>
    <n v="1.1000000000000001"/>
    <n v="1.64"/>
    <n v="13"/>
    <n v="70"/>
    <n v="39"/>
    <d v="2028-08-08T00:00:00"/>
  </r>
  <r>
    <d v="2026-06-25T00:00:00"/>
    <x v="19"/>
    <x v="10"/>
    <x v="3"/>
    <n v="4.71"/>
    <n v="7.21"/>
    <n v="8"/>
    <n v="5"/>
    <n v="13"/>
    <d v="2027-11-19T00:00:00"/>
  </r>
  <r>
    <d v="2026-06-26T00:00:00"/>
    <x v="6"/>
    <x v="0"/>
    <x v="5"/>
    <n v="1.44"/>
    <n v="2.4500000000000002"/>
    <n v="17"/>
    <n v="30"/>
    <n v="25"/>
    <d v="2028-09-23T00:00:00"/>
  </r>
  <r>
    <d v="2026-06-26T00:00:00"/>
    <x v="12"/>
    <x v="5"/>
    <x v="1"/>
    <n v="2.59"/>
    <n v="4.1399999999999997"/>
    <n v="6"/>
    <n v="19"/>
    <n v="10"/>
    <d v="2028-11-02T00:00:00"/>
  </r>
  <r>
    <d v="2026-06-28T00:00:00"/>
    <x v="18"/>
    <x v="11"/>
    <x v="4"/>
    <n v="0.41"/>
    <n v="0.56000000000000005"/>
    <n v="14"/>
    <n v="62"/>
    <n v="25"/>
    <d v="2028-06-11T00:00:00"/>
  </r>
  <r>
    <d v="2026-06-29T00:00:00"/>
    <x v="13"/>
    <x v="6"/>
    <x v="6"/>
    <n v="4.18"/>
    <n v="6.01"/>
    <n v="14"/>
    <n v="22"/>
    <n v="13"/>
    <d v="2028-08-06T00:00:00"/>
  </r>
  <r>
    <d v="2026-06-29T00:00:00"/>
    <x v="17"/>
    <x v="8"/>
    <x v="5"/>
    <n v="1.32"/>
    <n v="1.88"/>
    <n v="16"/>
    <n v="32"/>
    <n v="17"/>
    <d v="2028-02-13T00:00:00"/>
  </r>
  <r>
    <d v="2026-06-29T00:00:00"/>
    <x v="20"/>
    <x v="10"/>
    <x v="0"/>
    <n v="2.97"/>
    <n v="4.2300000000000004"/>
    <n v="6"/>
    <n v="50"/>
    <n v="20"/>
    <d v="2027-05-17T00:00:00"/>
  </r>
  <r>
    <d v="2026-06-30T00:00:00"/>
    <x v="21"/>
    <x v="2"/>
    <x v="0"/>
    <n v="0.9"/>
    <n v="1.44"/>
    <n v="13"/>
    <n v="22"/>
    <n v="43"/>
    <d v="2027-07-22T00:00:00"/>
  </r>
  <r>
    <d v="2026-06-30T00:00:00"/>
    <x v="22"/>
    <x v="6"/>
    <x v="2"/>
    <n v="3.38"/>
    <n v="5.74"/>
    <n v="22"/>
    <n v="65"/>
    <n v="36"/>
    <d v="2028-04-24T00:00:00"/>
  </r>
  <r>
    <d v="2026-06-30T00:00:00"/>
    <x v="13"/>
    <x v="6"/>
    <x v="3"/>
    <n v="4.1100000000000003"/>
    <n v="5.73"/>
    <n v="15"/>
    <n v="13"/>
    <n v="10"/>
    <d v="2027-03-23T00:00:00"/>
  </r>
  <r>
    <d v="2026-06-30T00:00:00"/>
    <x v="26"/>
    <x v="9"/>
    <x v="0"/>
    <n v="2.36"/>
    <n v="4.08"/>
    <n v="3"/>
    <n v="22"/>
    <n v="11"/>
    <d v="2028-01-20T00:00:00"/>
  </r>
  <r>
    <d v="2026-07-01T00:00:00"/>
    <x v="11"/>
    <x v="8"/>
    <x v="6"/>
    <n v="3.26"/>
    <n v="5.63"/>
    <n v="17"/>
    <n v="16"/>
    <n v="25"/>
    <d v="2027-07-27T00:00:00"/>
  </r>
  <r>
    <d v="2026-07-01T00:00:00"/>
    <x v="17"/>
    <x v="8"/>
    <x v="2"/>
    <n v="1.44"/>
    <n v="2.0699999999999998"/>
    <n v="17"/>
    <n v="22"/>
    <n v="20"/>
    <d v="2028-02-24T00:00:00"/>
  </r>
  <r>
    <d v="2026-07-01T00:00:00"/>
    <x v="20"/>
    <x v="10"/>
    <x v="3"/>
    <n v="3.13"/>
    <n v="5.05"/>
    <n v="14"/>
    <n v="40"/>
    <n v="16"/>
    <d v="2027-10-16T00:00:00"/>
  </r>
  <r>
    <d v="2026-07-01T00:00:00"/>
    <x v="25"/>
    <x v="8"/>
    <x v="2"/>
    <n v="1.0900000000000001"/>
    <n v="1.8"/>
    <n v="35"/>
    <n v="137"/>
    <n v="34"/>
    <d v="2027-01-07T00:00:00"/>
  </r>
  <r>
    <d v="2026-07-01T00:00:00"/>
    <x v="0"/>
    <x v="0"/>
    <x v="3"/>
    <n v="1.71"/>
    <n v="2.31"/>
    <n v="22"/>
    <n v="27"/>
    <n v="45"/>
    <d v="2028-09-07T00:00:00"/>
  </r>
  <r>
    <d v="2026-07-02T00:00:00"/>
    <x v="19"/>
    <x v="10"/>
    <x v="2"/>
    <n v="4.32"/>
    <n v="7.45"/>
    <n v="8"/>
    <n v="22"/>
    <n v="12"/>
    <d v="2027-01-03T00:00:00"/>
  </r>
  <r>
    <d v="2026-07-02T00:00:00"/>
    <x v="26"/>
    <x v="9"/>
    <x v="5"/>
    <n v="2.11"/>
    <n v="3.64"/>
    <n v="6"/>
    <n v="24"/>
    <n v="11"/>
    <d v="2027-03-06T00:00:00"/>
  </r>
  <r>
    <d v="2026-07-02T00:00:00"/>
    <x v="14"/>
    <x v="1"/>
    <x v="2"/>
    <n v="2.77"/>
    <n v="4.13"/>
    <n v="20"/>
    <n v="23"/>
    <n v="35"/>
    <d v="2027-04-18T00:00:00"/>
  </r>
  <r>
    <d v="2026-07-03T00:00:00"/>
    <x v="12"/>
    <x v="5"/>
    <x v="2"/>
    <n v="2.38"/>
    <n v="4.1399999999999997"/>
    <n v="13"/>
    <n v="44"/>
    <n v="21"/>
    <d v="2027-12-05T00:00:00"/>
  </r>
  <r>
    <d v="2026-07-03T00:00:00"/>
    <x v="28"/>
    <x v="3"/>
    <x v="4"/>
    <n v="1.36"/>
    <n v="2.31"/>
    <n v="7"/>
    <n v="46"/>
    <n v="17"/>
    <d v="2028-05-04T00:00:00"/>
  </r>
  <r>
    <d v="2026-07-03T00:00:00"/>
    <x v="6"/>
    <x v="0"/>
    <x v="2"/>
    <n v="1.45"/>
    <n v="2.0499999999999998"/>
    <n v="10"/>
    <n v="52"/>
    <n v="31"/>
    <d v="2028-09-05T00:00:00"/>
  </r>
  <r>
    <d v="2026-07-03T00:00:00"/>
    <x v="20"/>
    <x v="10"/>
    <x v="3"/>
    <n v="2.87"/>
    <n v="4.66"/>
    <n v="15"/>
    <n v="45"/>
    <n v="20"/>
    <d v="2027-09-05T00:00:00"/>
  </r>
  <r>
    <d v="2026-07-03T00:00:00"/>
    <x v="16"/>
    <x v="10"/>
    <x v="1"/>
    <n v="1.99"/>
    <n v="3.1"/>
    <n v="10"/>
    <n v="16"/>
    <n v="24"/>
    <d v="2028-06-25T00:00:00"/>
  </r>
  <r>
    <d v="2026-07-03T00:00:00"/>
    <x v="5"/>
    <x v="5"/>
    <x v="2"/>
    <n v="2.99"/>
    <n v="5.12"/>
    <n v="3"/>
    <n v="15"/>
    <n v="9"/>
    <d v="2028-09-20T00:00:00"/>
  </r>
  <r>
    <d v="2026-07-04T00:00:00"/>
    <x v="8"/>
    <x v="7"/>
    <x v="6"/>
    <n v="2.68"/>
    <n v="4.45"/>
    <n v="23"/>
    <n v="48"/>
    <n v="32"/>
    <d v="2028-02-18T00:00:00"/>
  </r>
  <r>
    <d v="2026-07-05T00:00:00"/>
    <x v="14"/>
    <x v="1"/>
    <x v="4"/>
    <n v="2.5099999999999998"/>
    <n v="3.71"/>
    <n v="17"/>
    <n v="62"/>
    <n v="39"/>
    <d v="2027-07-18T00:00:00"/>
  </r>
  <r>
    <d v="2026-07-05T00:00:00"/>
    <x v="18"/>
    <x v="11"/>
    <x v="3"/>
    <n v="0.43"/>
    <n v="0.71"/>
    <n v="19"/>
    <n v="77"/>
    <n v="16"/>
    <d v="2028-07-29T00:00:00"/>
  </r>
  <r>
    <d v="2026-07-06T00:00:00"/>
    <x v="0"/>
    <x v="0"/>
    <x v="2"/>
    <n v="1.83"/>
    <n v="2.99"/>
    <n v="30"/>
    <n v="86"/>
    <n v="25"/>
    <d v="2028-11-18T00:00:00"/>
  </r>
  <r>
    <d v="2026-07-06T00:00:00"/>
    <x v="13"/>
    <x v="6"/>
    <x v="2"/>
    <n v="4.3600000000000003"/>
    <n v="5.94"/>
    <n v="16"/>
    <n v="49"/>
    <n v="21"/>
    <d v="2028-09-29T00:00:00"/>
  </r>
  <r>
    <d v="2026-07-06T00:00:00"/>
    <x v="15"/>
    <x v="9"/>
    <x v="4"/>
    <n v="1.77"/>
    <n v="2.4900000000000002"/>
    <n v="6"/>
    <n v="30"/>
    <n v="12"/>
    <d v="2028-08-21T00:00:00"/>
  </r>
  <r>
    <d v="2026-07-06T00:00:00"/>
    <x v="24"/>
    <x v="7"/>
    <x v="2"/>
    <n v="1.0900000000000001"/>
    <n v="1.66"/>
    <n v="24"/>
    <n v="13"/>
    <n v="26"/>
    <d v="2027-08-18T00:00:00"/>
  </r>
  <r>
    <d v="2026-07-06T00:00:00"/>
    <x v="5"/>
    <x v="5"/>
    <x v="3"/>
    <n v="3.08"/>
    <n v="4.32"/>
    <n v="2"/>
    <n v="3"/>
    <n v="7"/>
    <d v="2027-06-02T00:00:00"/>
  </r>
  <r>
    <d v="2026-07-06T00:00:00"/>
    <x v="29"/>
    <x v="7"/>
    <x v="5"/>
    <n v="1.93"/>
    <n v="2.99"/>
    <n v="20"/>
    <n v="52"/>
    <n v="41"/>
    <d v="2027-08-01T00:00:00"/>
  </r>
  <r>
    <d v="2026-07-07T00:00:00"/>
    <x v="18"/>
    <x v="11"/>
    <x v="3"/>
    <n v="0.38"/>
    <n v="0.63"/>
    <n v="15"/>
    <n v="13"/>
    <n v="20"/>
    <d v="2028-01-24T00:00:00"/>
  </r>
  <r>
    <d v="2026-07-07T00:00:00"/>
    <x v="14"/>
    <x v="1"/>
    <x v="1"/>
    <n v="2.66"/>
    <n v="4.28"/>
    <n v="16"/>
    <n v="89"/>
    <n v="24"/>
    <d v="2028-06-24T00:00:00"/>
  </r>
  <r>
    <d v="2026-07-07T00:00:00"/>
    <x v="23"/>
    <x v="1"/>
    <x v="5"/>
    <n v="1.91"/>
    <n v="2.78"/>
    <n v="32"/>
    <n v="67"/>
    <n v="25"/>
    <d v="2028-09-21T00:00:00"/>
  </r>
  <r>
    <d v="2026-07-08T00:00:00"/>
    <x v="8"/>
    <x v="7"/>
    <x v="3"/>
    <n v="2.8"/>
    <n v="4.57"/>
    <n v="14"/>
    <n v="84"/>
    <n v="26"/>
    <d v="2028-09-25T00:00:00"/>
  </r>
  <r>
    <d v="2026-07-08T00:00:00"/>
    <x v="27"/>
    <x v="9"/>
    <x v="2"/>
    <n v="1.72"/>
    <n v="3.01"/>
    <n v="4"/>
    <n v="28"/>
    <n v="6"/>
    <d v="2027-01-18T00:00:00"/>
  </r>
  <r>
    <d v="2026-07-09T00:00:00"/>
    <x v="23"/>
    <x v="1"/>
    <x v="2"/>
    <n v="1.95"/>
    <n v="3.07"/>
    <n v="24"/>
    <n v="72"/>
    <n v="55"/>
    <d v="2028-01-07T00:00:00"/>
  </r>
  <r>
    <d v="2026-07-09T00:00:00"/>
    <x v="22"/>
    <x v="6"/>
    <x v="1"/>
    <n v="3.49"/>
    <n v="5.31"/>
    <n v="15"/>
    <n v="76"/>
    <n v="27"/>
    <d v="2027-10-22T00:00:00"/>
  </r>
  <r>
    <d v="2026-07-09T00:00:00"/>
    <x v="13"/>
    <x v="6"/>
    <x v="6"/>
    <n v="4.42"/>
    <n v="6.39"/>
    <n v="14"/>
    <n v="21"/>
    <n v="12"/>
    <d v="2028-10-11T00:00:00"/>
  </r>
  <r>
    <d v="2026-07-09T00:00:00"/>
    <x v="14"/>
    <x v="1"/>
    <x v="5"/>
    <n v="2.67"/>
    <n v="3.88"/>
    <n v="11"/>
    <n v="64"/>
    <n v="26"/>
    <d v="2028-01-01T00:00:00"/>
  </r>
  <r>
    <d v="2026-07-09T00:00:00"/>
    <x v="3"/>
    <x v="3"/>
    <x v="4"/>
    <n v="1.51"/>
    <n v="2.19"/>
    <n v="9"/>
    <n v="46"/>
    <n v="15"/>
    <d v="2027-07-24T00:00:00"/>
  </r>
  <r>
    <d v="2026-07-09T00:00:00"/>
    <x v="10"/>
    <x v="0"/>
    <x v="1"/>
    <n v="1.24"/>
    <n v="2.17"/>
    <n v="36"/>
    <n v="161"/>
    <n v="40"/>
    <d v="2027-07-04T00:00:00"/>
  </r>
  <r>
    <d v="2026-07-10T00:00:00"/>
    <x v="26"/>
    <x v="9"/>
    <x v="0"/>
    <n v="2.1"/>
    <n v="3.29"/>
    <n v="5"/>
    <n v="28"/>
    <n v="10"/>
    <d v="2028-06-03T00:00:00"/>
  </r>
  <r>
    <d v="2026-07-10T00:00:00"/>
    <x v="23"/>
    <x v="1"/>
    <x v="3"/>
    <n v="2.13"/>
    <n v="2.93"/>
    <n v="15"/>
    <n v="52"/>
    <n v="46"/>
    <d v="2027-05-17T00:00:00"/>
  </r>
  <r>
    <d v="2026-07-10T00:00:00"/>
    <x v="12"/>
    <x v="5"/>
    <x v="4"/>
    <n v="2.4700000000000002"/>
    <n v="3.84"/>
    <n v="7"/>
    <n v="34"/>
    <n v="17"/>
    <d v="2027-09-23T00:00:00"/>
  </r>
  <r>
    <d v="2026-07-11T00:00:00"/>
    <x v="1"/>
    <x v="1"/>
    <x v="2"/>
    <n v="1.06"/>
    <n v="1.73"/>
    <n v="9"/>
    <n v="28"/>
    <n v="10"/>
    <d v="2027-07-06T00:00:00"/>
  </r>
  <r>
    <d v="2026-07-11T00:00:00"/>
    <x v="19"/>
    <x v="10"/>
    <x v="5"/>
    <n v="4.6100000000000003"/>
    <n v="7.48"/>
    <n v="8"/>
    <n v="20"/>
    <n v="19"/>
    <d v="2027-11-10T00:00:00"/>
  </r>
  <r>
    <d v="2026-07-11T00:00:00"/>
    <x v="11"/>
    <x v="8"/>
    <x v="0"/>
    <n v="3.1"/>
    <n v="4.79"/>
    <n v="18"/>
    <n v="52"/>
    <n v="13"/>
    <d v="2028-03-26T00:00:00"/>
  </r>
  <r>
    <d v="2026-07-11T00:00:00"/>
    <x v="27"/>
    <x v="9"/>
    <x v="4"/>
    <n v="1.83"/>
    <n v="2.54"/>
    <n v="5"/>
    <n v="20"/>
    <n v="11"/>
    <d v="2027-11-13T00:00:00"/>
  </r>
  <r>
    <d v="2026-07-11T00:00:00"/>
    <x v="19"/>
    <x v="10"/>
    <x v="1"/>
    <n v="4.71"/>
    <n v="7.16"/>
    <n v="6"/>
    <n v="39"/>
    <n v="17"/>
    <d v="2026-12-13T00:00:00"/>
  </r>
  <r>
    <d v="2026-07-12T00:00:00"/>
    <x v="12"/>
    <x v="5"/>
    <x v="2"/>
    <n v="2.67"/>
    <n v="4.22"/>
    <n v="13"/>
    <n v="13"/>
    <n v="11"/>
    <d v="2027-02-15T00:00:00"/>
  </r>
  <r>
    <d v="2026-07-13T00:00:00"/>
    <x v="4"/>
    <x v="4"/>
    <x v="5"/>
    <n v="1.74"/>
    <n v="2.69"/>
    <n v="26"/>
    <n v="63"/>
    <n v="39"/>
    <d v="2028-05-18T00:00:00"/>
  </r>
  <r>
    <d v="2026-07-14T00:00:00"/>
    <x v="10"/>
    <x v="0"/>
    <x v="4"/>
    <n v="1.27"/>
    <n v="2.14"/>
    <n v="46"/>
    <n v="73"/>
    <n v="69"/>
    <d v="2027-10-19T00:00:00"/>
  </r>
  <r>
    <d v="2026-07-15T00:00:00"/>
    <x v="11"/>
    <x v="8"/>
    <x v="5"/>
    <n v="3.41"/>
    <n v="5.46"/>
    <n v="12"/>
    <n v="39"/>
    <n v="24"/>
    <d v="2027-02-21T00:00:00"/>
  </r>
  <r>
    <d v="2026-07-16T00:00:00"/>
    <x v="1"/>
    <x v="1"/>
    <x v="5"/>
    <n v="1.17"/>
    <n v="2.04"/>
    <n v="5"/>
    <n v="36"/>
    <n v="9"/>
    <d v="2027-11-05T00:00:00"/>
  </r>
  <r>
    <d v="2026-07-16T00:00:00"/>
    <x v="21"/>
    <x v="2"/>
    <x v="2"/>
    <n v="0.91"/>
    <n v="1.48"/>
    <n v="26"/>
    <n v="61"/>
    <n v="42"/>
    <d v="2027-12-21T00:00:00"/>
  </r>
  <r>
    <d v="2026-07-16T00:00:00"/>
    <x v="5"/>
    <x v="5"/>
    <x v="2"/>
    <n v="3.34"/>
    <n v="5.47"/>
    <n v="3"/>
    <n v="22"/>
    <n v="6"/>
    <d v="2027-03-02T00:00:00"/>
  </r>
  <r>
    <d v="2026-07-16T00:00:00"/>
    <x v="12"/>
    <x v="5"/>
    <x v="6"/>
    <n v="2.41"/>
    <n v="3.84"/>
    <n v="7"/>
    <n v="16"/>
    <n v="18"/>
    <d v="2027-06-03T00:00:00"/>
  </r>
  <r>
    <d v="2026-07-17T00:00:00"/>
    <x v="10"/>
    <x v="0"/>
    <x v="0"/>
    <n v="1.22"/>
    <n v="2.09"/>
    <n v="44"/>
    <n v="91"/>
    <n v="45"/>
    <d v="2028-08-08T00:00:00"/>
  </r>
  <r>
    <d v="2026-07-19T00:00:00"/>
    <x v="0"/>
    <x v="0"/>
    <x v="2"/>
    <n v="1.73"/>
    <n v="2.81"/>
    <n v="21"/>
    <n v="40"/>
    <n v="35"/>
    <d v="2027-05-16T00:00:00"/>
  </r>
  <r>
    <d v="2026-07-19T00:00:00"/>
    <x v="7"/>
    <x v="6"/>
    <x v="3"/>
    <n v="4.01"/>
    <n v="5.88"/>
    <n v="8"/>
    <n v="28"/>
    <n v="16"/>
    <d v="2028-04-09T00:00:00"/>
  </r>
  <r>
    <d v="2026-07-19T00:00:00"/>
    <x v="0"/>
    <x v="0"/>
    <x v="3"/>
    <n v="1.74"/>
    <n v="2.96"/>
    <n v="17"/>
    <n v="24"/>
    <n v="35"/>
    <d v="2027-01-07T00:00:00"/>
  </r>
  <r>
    <d v="2026-07-20T00:00:00"/>
    <x v="15"/>
    <x v="9"/>
    <x v="5"/>
    <n v="1.7"/>
    <n v="2.95"/>
    <n v="7"/>
    <n v="7"/>
    <n v="18"/>
    <d v="2027-10-10T00:00:00"/>
  </r>
  <r>
    <d v="2026-07-20T00:00:00"/>
    <x v="20"/>
    <x v="10"/>
    <x v="4"/>
    <n v="2.96"/>
    <n v="5.03"/>
    <n v="12"/>
    <n v="38"/>
    <n v="19"/>
    <d v="2028-10-25T00:00:00"/>
  </r>
  <r>
    <d v="2026-07-21T00:00:00"/>
    <x v="20"/>
    <x v="10"/>
    <x v="5"/>
    <n v="3.05"/>
    <n v="5.31"/>
    <n v="12"/>
    <n v="50"/>
    <n v="14"/>
    <d v="2027-12-29T00:00:00"/>
  </r>
  <r>
    <d v="2026-07-22T00:00:00"/>
    <x v="28"/>
    <x v="3"/>
    <x v="2"/>
    <n v="1.39"/>
    <n v="2.34"/>
    <n v="6"/>
    <n v="13"/>
    <n v="14"/>
    <d v="2027-07-20T00:00:00"/>
  </r>
  <r>
    <d v="2026-07-22T00:00:00"/>
    <x v="11"/>
    <x v="8"/>
    <x v="6"/>
    <n v="3.05"/>
    <n v="5.25"/>
    <n v="11"/>
    <n v="50"/>
    <n v="17"/>
    <d v="2028-03-24T00:00:00"/>
  </r>
  <r>
    <d v="2026-07-24T00:00:00"/>
    <x v="19"/>
    <x v="10"/>
    <x v="2"/>
    <n v="4.68"/>
    <n v="8.15"/>
    <n v="6"/>
    <n v="22"/>
    <n v="17"/>
    <d v="2027-08-08T00:00:00"/>
  </r>
  <r>
    <d v="2026-07-24T00:00:00"/>
    <x v="4"/>
    <x v="4"/>
    <x v="1"/>
    <n v="1.72"/>
    <n v="2.71"/>
    <n v="22"/>
    <n v="32"/>
    <n v="36"/>
    <d v="2028-10-07T00:00:00"/>
  </r>
  <r>
    <d v="2026-07-25T00:00:00"/>
    <x v="11"/>
    <x v="8"/>
    <x v="6"/>
    <n v="3.37"/>
    <n v="5.2"/>
    <n v="16"/>
    <n v="67"/>
    <n v="20"/>
    <d v="2028-04-01T00:00:00"/>
  </r>
  <r>
    <d v="2026-07-26T00:00:00"/>
    <x v="12"/>
    <x v="5"/>
    <x v="3"/>
    <n v="2.5099999999999998"/>
    <n v="3.48"/>
    <n v="8"/>
    <n v="40"/>
    <n v="11"/>
    <d v="2027-05-07T00:00:00"/>
  </r>
  <r>
    <d v="2026-07-26T00:00:00"/>
    <x v="29"/>
    <x v="7"/>
    <x v="1"/>
    <n v="1.85"/>
    <n v="3.11"/>
    <n v="14"/>
    <n v="73"/>
    <n v="21"/>
    <d v="2027-10-02T00:00:00"/>
  </r>
  <r>
    <d v="2026-07-26T00:00:00"/>
    <x v="1"/>
    <x v="1"/>
    <x v="0"/>
    <n v="1.0900000000000001"/>
    <n v="1.6"/>
    <n v="7"/>
    <n v="15"/>
    <n v="15"/>
    <d v="2028-02-07T00:00:00"/>
  </r>
  <r>
    <d v="2026-07-27T00:00:00"/>
    <x v="27"/>
    <x v="9"/>
    <x v="6"/>
    <n v="1.91"/>
    <n v="2.95"/>
    <n v="6"/>
    <n v="25"/>
    <n v="8"/>
    <d v="2028-03-01T00:00:00"/>
  </r>
  <r>
    <d v="2026-07-27T00:00:00"/>
    <x v="2"/>
    <x v="2"/>
    <x v="1"/>
    <n v="0.97"/>
    <n v="1.46"/>
    <n v="13"/>
    <n v="47"/>
    <n v="25"/>
    <d v="2028-08-28T00:00:00"/>
  </r>
  <r>
    <d v="2026-07-27T00:00:00"/>
    <x v="2"/>
    <x v="2"/>
    <x v="5"/>
    <n v="1.05"/>
    <n v="1.62"/>
    <n v="9"/>
    <n v="19"/>
    <n v="22"/>
    <d v="2028-03-19T00:00:00"/>
  </r>
  <r>
    <d v="2026-07-27T00:00:00"/>
    <x v="15"/>
    <x v="9"/>
    <x v="6"/>
    <n v="1.79"/>
    <n v="2.4900000000000002"/>
    <n v="9"/>
    <n v="35"/>
    <n v="18"/>
    <d v="2027-08-05T00:00:00"/>
  </r>
  <r>
    <d v="2026-07-27T00:00:00"/>
    <x v="0"/>
    <x v="0"/>
    <x v="5"/>
    <n v="1.85"/>
    <n v="2.5099999999999998"/>
    <n v="31"/>
    <n v="111"/>
    <n v="34"/>
    <d v="2028-02-18T00:00:00"/>
  </r>
  <r>
    <d v="2026-07-27T00:00:00"/>
    <x v="18"/>
    <x v="11"/>
    <x v="2"/>
    <n v="0.39"/>
    <n v="0.68"/>
    <n v="18"/>
    <n v="57"/>
    <n v="18"/>
    <d v="2027-06-24T00:00:00"/>
  </r>
  <r>
    <d v="2026-07-27T00:00:00"/>
    <x v="17"/>
    <x v="8"/>
    <x v="1"/>
    <n v="1.48"/>
    <n v="2.04"/>
    <n v="15"/>
    <n v="21"/>
    <n v="29"/>
    <d v="2027-05-19T00:00:00"/>
  </r>
  <r>
    <d v="2026-07-28T00:00:00"/>
    <x v="28"/>
    <x v="3"/>
    <x v="3"/>
    <n v="1.38"/>
    <n v="2.35"/>
    <n v="11"/>
    <n v="42"/>
    <n v="12"/>
    <d v="2027-04-21T00:00:00"/>
  </r>
  <r>
    <d v="2026-07-28T00:00:00"/>
    <x v="3"/>
    <x v="3"/>
    <x v="3"/>
    <n v="1.67"/>
    <n v="2.4700000000000002"/>
    <n v="7"/>
    <n v="30"/>
    <n v="17"/>
    <d v="2027-02-28T00:00:00"/>
  </r>
  <r>
    <d v="2026-07-28T00:00:00"/>
    <x v="15"/>
    <x v="9"/>
    <x v="6"/>
    <n v="1.64"/>
    <n v="2.8"/>
    <n v="8"/>
    <n v="37"/>
    <n v="16"/>
    <d v="2028-10-18T00:00:00"/>
  </r>
  <r>
    <d v="2026-07-29T00:00:00"/>
    <x v="28"/>
    <x v="3"/>
    <x v="1"/>
    <n v="1.3"/>
    <n v="1.93"/>
    <n v="6"/>
    <n v="9"/>
    <n v="14"/>
    <d v="2028-12-13T00:00:00"/>
  </r>
  <r>
    <d v="2026-07-29T00:00:00"/>
    <x v="23"/>
    <x v="1"/>
    <x v="4"/>
    <n v="2.02"/>
    <n v="3.29"/>
    <n v="18"/>
    <n v="47"/>
    <n v="46"/>
    <d v="2027-05-17T00:00:00"/>
  </r>
  <r>
    <d v="2026-07-29T00:00:00"/>
    <x v="27"/>
    <x v="9"/>
    <x v="3"/>
    <n v="1.75"/>
    <n v="2.68"/>
    <n v="9"/>
    <n v="25"/>
    <n v="13"/>
    <d v="2028-10-20T00:00:00"/>
  </r>
  <r>
    <d v="2026-07-30T00:00:00"/>
    <x v="12"/>
    <x v="5"/>
    <x v="1"/>
    <n v="2.5499999999999998"/>
    <n v="4.1900000000000004"/>
    <n v="6"/>
    <n v="22"/>
    <n v="16"/>
    <d v="2028-06-01T00:00:00"/>
  </r>
  <r>
    <d v="2026-07-30T00:00:00"/>
    <x v="12"/>
    <x v="5"/>
    <x v="5"/>
    <n v="2.5099999999999998"/>
    <n v="4.26"/>
    <n v="14"/>
    <n v="49"/>
    <n v="15"/>
    <d v="2028-06-18T00:00:00"/>
  </r>
  <r>
    <d v="2026-07-30T00:00:00"/>
    <x v="27"/>
    <x v="9"/>
    <x v="4"/>
    <n v="1.72"/>
    <n v="2.44"/>
    <n v="6"/>
    <n v="24"/>
    <n v="11"/>
    <d v="2027-09-15T00:00:00"/>
  </r>
  <r>
    <d v="2026-07-31T00:00:00"/>
    <x v="12"/>
    <x v="5"/>
    <x v="1"/>
    <n v="2.4700000000000002"/>
    <n v="4.1500000000000004"/>
    <n v="12"/>
    <n v="41"/>
    <n v="16"/>
    <d v="2027-12-04T00:00:00"/>
  </r>
  <r>
    <d v="2026-08-01T00:00:00"/>
    <x v="7"/>
    <x v="6"/>
    <x v="3"/>
    <n v="3.97"/>
    <n v="6.28"/>
    <n v="12"/>
    <n v="46"/>
    <n v="11"/>
    <d v="2027-09-26T00:00:00"/>
  </r>
  <r>
    <d v="2026-08-01T00:00:00"/>
    <x v="10"/>
    <x v="0"/>
    <x v="3"/>
    <n v="1.28"/>
    <n v="1.99"/>
    <n v="44"/>
    <n v="59"/>
    <n v="38"/>
    <d v="2027-02-14T00:00:00"/>
  </r>
  <r>
    <d v="2026-08-02T00:00:00"/>
    <x v="15"/>
    <x v="9"/>
    <x v="0"/>
    <n v="1.79"/>
    <n v="2.61"/>
    <n v="9"/>
    <n v="7"/>
    <n v="16"/>
    <d v="2027-06-25T00:00:00"/>
  </r>
  <r>
    <d v="2026-08-02T00:00:00"/>
    <x v="27"/>
    <x v="9"/>
    <x v="2"/>
    <n v="1.84"/>
    <n v="2.98"/>
    <n v="4"/>
    <n v="8"/>
    <n v="6"/>
    <d v="2027-05-04T00:00:00"/>
  </r>
  <r>
    <d v="2026-08-02T00:00:00"/>
    <x v="25"/>
    <x v="8"/>
    <x v="6"/>
    <n v="1.1000000000000001"/>
    <n v="1.7"/>
    <n v="36"/>
    <n v="71"/>
    <n v="39"/>
    <d v="2028-10-29T00:00:00"/>
  </r>
  <r>
    <d v="2026-08-02T00:00:00"/>
    <x v="11"/>
    <x v="8"/>
    <x v="1"/>
    <n v="3.25"/>
    <n v="5.62"/>
    <n v="12"/>
    <n v="67"/>
    <n v="28"/>
    <d v="2028-07-25T00:00:00"/>
  </r>
  <r>
    <d v="2026-08-03T00:00:00"/>
    <x v="19"/>
    <x v="10"/>
    <x v="2"/>
    <n v="4.3099999999999996"/>
    <n v="7.12"/>
    <n v="13"/>
    <n v="15"/>
    <n v="13"/>
    <d v="2027-03-02T00:00:00"/>
  </r>
  <r>
    <d v="2026-08-04T00:00:00"/>
    <x v="29"/>
    <x v="7"/>
    <x v="4"/>
    <n v="2"/>
    <n v="3.47"/>
    <n v="17"/>
    <n v="40"/>
    <n v="25"/>
    <d v="2028-05-23T00:00:00"/>
  </r>
  <r>
    <d v="2026-08-05T00:00:00"/>
    <x v="21"/>
    <x v="2"/>
    <x v="3"/>
    <n v="0.85"/>
    <n v="1.1499999999999999"/>
    <n v="14"/>
    <n v="69"/>
    <n v="31"/>
    <d v="2028-11-15T00:00:00"/>
  </r>
  <r>
    <d v="2026-08-06T00:00:00"/>
    <x v="26"/>
    <x v="9"/>
    <x v="5"/>
    <n v="2.1800000000000002"/>
    <n v="3.51"/>
    <n v="3"/>
    <n v="21"/>
    <n v="12"/>
    <d v="2027-05-09T00:00:00"/>
  </r>
  <r>
    <d v="2026-08-06T00:00:00"/>
    <x v="15"/>
    <x v="9"/>
    <x v="0"/>
    <n v="1.6"/>
    <n v="2.3199999999999998"/>
    <n v="10"/>
    <n v="31"/>
    <n v="16"/>
    <d v="2027-03-14T00:00:00"/>
  </r>
  <r>
    <d v="2026-08-07T00:00:00"/>
    <x v="4"/>
    <x v="4"/>
    <x v="3"/>
    <n v="1.81"/>
    <n v="2.71"/>
    <n v="30"/>
    <n v="75"/>
    <n v="42"/>
    <d v="2027-07-15T00:00:00"/>
  </r>
  <r>
    <d v="2026-08-07T00:00:00"/>
    <x v="7"/>
    <x v="6"/>
    <x v="1"/>
    <n v="4.04"/>
    <n v="5.78"/>
    <n v="5"/>
    <n v="4"/>
    <n v="15"/>
    <d v="2028-08-28T00:00:00"/>
  </r>
  <r>
    <d v="2026-08-08T00:00:00"/>
    <x v="8"/>
    <x v="7"/>
    <x v="3"/>
    <n v="2.75"/>
    <n v="4.16"/>
    <n v="14"/>
    <n v="10"/>
    <n v="27"/>
    <d v="2028-03-17T00:00:00"/>
  </r>
  <r>
    <d v="2026-08-08T00:00:00"/>
    <x v="25"/>
    <x v="8"/>
    <x v="0"/>
    <n v="1.06"/>
    <n v="1.55"/>
    <n v="26"/>
    <n v="119"/>
    <n v="29"/>
    <d v="2027-04-19T00:00:00"/>
  </r>
  <r>
    <d v="2026-08-08T00:00:00"/>
    <x v="20"/>
    <x v="10"/>
    <x v="6"/>
    <n v="2.95"/>
    <n v="4.6500000000000004"/>
    <n v="11"/>
    <n v="51"/>
    <n v="11"/>
    <d v="2027-02-25T00:00:00"/>
  </r>
  <r>
    <d v="2026-08-09T00:00:00"/>
    <x v="11"/>
    <x v="8"/>
    <x v="3"/>
    <n v="3.38"/>
    <n v="5.77"/>
    <n v="16"/>
    <n v="62"/>
    <n v="22"/>
    <d v="2027-01-11T00:00:00"/>
  </r>
  <r>
    <d v="2026-08-09T00:00:00"/>
    <x v="20"/>
    <x v="10"/>
    <x v="3"/>
    <n v="2.85"/>
    <n v="4.84"/>
    <n v="8"/>
    <n v="40"/>
    <n v="19"/>
    <d v="2027-03-12T00:00:00"/>
  </r>
  <r>
    <d v="2026-08-10T00:00:00"/>
    <x v="12"/>
    <x v="5"/>
    <x v="0"/>
    <n v="2.44"/>
    <n v="3.6"/>
    <n v="6"/>
    <n v="54"/>
    <n v="19"/>
    <d v="2027-02-08T00:00:00"/>
  </r>
  <r>
    <d v="2026-08-10T00:00:00"/>
    <x v="2"/>
    <x v="2"/>
    <x v="4"/>
    <n v="0.97"/>
    <n v="1.31"/>
    <n v="8"/>
    <n v="53"/>
    <n v="25"/>
    <d v="2028-03-18T00:00:00"/>
  </r>
  <r>
    <d v="2026-08-10T00:00:00"/>
    <x v="14"/>
    <x v="1"/>
    <x v="6"/>
    <n v="2.7"/>
    <n v="4.43"/>
    <n v="23"/>
    <n v="23"/>
    <n v="31"/>
    <d v="2028-10-05T00:00:00"/>
  </r>
  <r>
    <d v="2026-08-11T00:00:00"/>
    <x v="14"/>
    <x v="1"/>
    <x v="1"/>
    <n v="2.4900000000000002"/>
    <n v="4.01"/>
    <n v="27"/>
    <n v="88"/>
    <n v="36"/>
    <d v="2027-01-03T00:00:00"/>
  </r>
  <r>
    <d v="2026-08-11T00:00:00"/>
    <x v="12"/>
    <x v="5"/>
    <x v="0"/>
    <n v="2.4"/>
    <n v="3.55"/>
    <n v="11"/>
    <n v="7"/>
    <n v="10"/>
    <d v="2028-06-13T00:00:00"/>
  </r>
  <r>
    <d v="2026-08-11T00:00:00"/>
    <x v="14"/>
    <x v="1"/>
    <x v="2"/>
    <n v="2.5299999999999998"/>
    <n v="4.17"/>
    <n v="18"/>
    <n v="85"/>
    <n v="32"/>
    <d v="2027-12-04T00:00:00"/>
  </r>
  <r>
    <d v="2026-08-11T00:00:00"/>
    <x v="28"/>
    <x v="3"/>
    <x v="0"/>
    <n v="1.34"/>
    <n v="2.11"/>
    <n v="5"/>
    <n v="14"/>
    <n v="13"/>
    <d v="2028-12-27T00:00:00"/>
  </r>
  <r>
    <d v="2026-08-12T00:00:00"/>
    <x v="22"/>
    <x v="6"/>
    <x v="5"/>
    <n v="3.56"/>
    <n v="4.8499999999999996"/>
    <n v="15"/>
    <n v="93"/>
    <n v="21"/>
    <d v="2027-11-07T00:00:00"/>
  </r>
  <r>
    <d v="2026-08-14T00:00:00"/>
    <x v="16"/>
    <x v="10"/>
    <x v="6"/>
    <n v="2.09"/>
    <n v="3.15"/>
    <n v="17"/>
    <n v="47"/>
    <n v="22"/>
    <d v="2027-09-18T00:00:00"/>
  </r>
  <r>
    <d v="2026-08-14T00:00:00"/>
    <x v="10"/>
    <x v="0"/>
    <x v="3"/>
    <n v="1.1399999999999999"/>
    <n v="1.74"/>
    <n v="25"/>
    <n v="30"/>
    <n v="61"/>
    <d v="2027-02-07T00:00:00"/>
  </r>
  <r>
    <d v="2026-08-15T00:00:00"/>
    <x v="28"/>
    <x v="3"/>
    <x v="4"/>
    <n v="1.31"/>
    <n v="1.99"/>
    <n v="9"/>
    <n v="7"/>
    <n v="8"/>
    <d v="2027-04-13T00:00:00"/>
  </r>
  <r>
    <d v="2026-08-15T00:00:00"/>
    <x v="16"/>
    <x v="10"/>
    <x v="0"/>
    <n v="1.91"/>
    <n v="2.73"/>
    <n v="13"/>
    <n v="43"/>
    <n v="29"/>
    <d v="2028-11-01T00:00:00"/>
  </r>
  <r>
    <d v="2026-08-15T00:00:00"/>
    <x v="25"/>
    <x v="8"/>
    <x v="1"/>
    <n v="1.1499999999999999"/>
    <n v="1.91"/>
    <n v="34"/>
    <n v="92"/>
    <n v="31"/>
    <d v="2027-10-04T00:00:00"/>
  </r>
  <r>
    <d v="2026-08-15T00:00:00"/>
    <x v="12"/>
    <x v="5"/>
    <x v="5"/>
    <n v="2.5099999999999998"/>
    <n v="4.1100000000000003"/>
    <n v="12"/>
    <n v="8"/>
    <n v="19"/>
    <d v="2027-07-14T00:00:00"/>
  </r>
  <r>
    <d v="2026-08-16T00:00:00"/>
    <x v="10"/>
    <x v="0"/>
    <x v="3"/>
    <n v="1.24"/>
    <n v="1.87"/>
    <n v="43"/>
    <n v="152"/>
    <n v="64"/>
    <d v="2028-05-13T00:00:00"/>
  </r>
  <r>
    <d v="2026-08-17T00:00:00"/>
    <x v="25"/>
    <x v="8"/>
    <x v="5"/>
    <n v="1.1200000000000001"/>
    <n v="1.54"/>
    <n v="23"/>
    <n v="83"/>
    <n v="58"/>
    <d v="2028-02-20T00:00:00"/>
  </r>
  <r>
    <d v="2026-08-17T00:00:00"/>
    <x v="16"/>
    <x v="10"/>
    <x v="3"/>
    <n v="2.13"/>
    <n v="3.66"/>
    <n v="17"/>
    <n v="47"/>
    <n v="27"/>
    <d v="2028-06-27T00:00:00"/>
  </r>
  <r>
    <d v="2026-08-18T00:00:00"/>
    <x v="22"/>
    <x v="6"/>
    <x v="1"/>
    <n v="3.42"/>
    <n v="5.27"/>
    <n v="30"/>
    <n v="28"/>
    <n v="43"/>
    <d v="2027-06-19T00:00:00"/>
  </r>
  <r>
    <d v="2026-08-19T00:00:00"/>
    <x v="3"/>
    <x v="3"/>
    <x v="4"/>
    <n v="1.57"/>
    <n v="2.2999999999999998"/>
    <n v="14"/>
    <n v="23"/>
    <n v="14"/>
    <d v="2027-11-15T00:00:00"/>
  </r>
  <r>
    <d v="2026-08-20T00:00:00"/>
    <x v="7"/>
    <x v="6"/>
    <x v="3"/>
    <n v="4.08"/>
    <n v="6.69"/>
    <n v="10"/>
    <n v="20"/>
    <n v="19"/>
    <d v="2027-09-02T00:00:00"/>
  </r>
  <r>
    <d v="2026-08-21T00:00:00"/>
    <x v="7"/>
    <x v="6"/>
    <x v="1"/>
    <n v="3.59"/>
    <n v="6.14"/>
    <n v="11"/>
    <n v="46"/>
    <n v="11"/>
    <d v="2027-11-10T00:00:00"/>
  </r>
  <r>
    <d v="2026-08-22T00:00:00"/>
    <x v="27"/>
    <x v="9"/>
    <x v="3"/>
    <n v="1.94"/>
    <n v="2.72"/>
    <n v="6"/>
    <n v="23"/>
    <n v="13"/>
    <d v="2028-08-28T00:00:00"/>
  </r>
  <r>
    <d v="2026-08-23T00:00:00"/>
    <x v="8"/>
    <x v="7"/>
    <x v="6"/>
    <n v="2.83"/>
    <n v="4.8"/>
    <n v="20"/>
    <n v="76"/>
    <n v="24"/>
    <d v="2028-07-28T00:00:00"/>
  </r>
  <r>
    <d v="2026-08-23T00:00:00"/>
    <x v="28"/>
    <x v="3"/>
    <x v="6"/>
    <n v="1.36"/>
    <n v="1.96"/>
    <n v="6"/>
    <n v="28"/>
    <n v="19"/>
    <d v="2028-04-27T00:00:00"/>
  </r>
  <r>
    <d v="2026-08-24T00:00:00"/>
    <x v="10"/>
    <x v="0"/>
    <x v="3"/>
    <n v="1.22"/>
    <n v="1.98"/>
    <n v="45"/>
    <n v="154"/>
    <n v="33"/>
    <d v="2028-07-02T00:00:00"/>
  </r>
  <r>
    <d v="2026-08-25T00:00:00"/>
    <x v="25"/>
    <x v="8"/>
    <x v="2"/>
    <n v="1.0900000000000001"/>
    <n v="1.77"/>
    <n v="23"/>
    <n v="63"/>
    <n v="26"/>
    <d v="2027-05-21T00:00:00"/>
  </r>
  <r>
    <d v="2026-08-25T00:00:00"/>
    <x v="23"/>
    <x v="1"/>
    <x v="2"/>
    <n v="1.96"/>
    <n v="2.98"/>
    <n v="28"/>
    <n v="31"/>
    <n v="41"/>
    <d v="2028-10-19T00:00:00"/>
  </r>
  <r>
    <d v="2026-08-25T00:00:00"/>
    <x v="10"/>
    <x v="0"/>
    <x v="1"/>
    <n v="1.19"/>
    <n v="2.0499999999999998"/>
    <n v="45"/>
    <n v="36"/>
    <n v="57"/>
    <d v="2028-12-21T00:00:00"/>
  </r>
  <r>
    <d v="2026-08-25T00:00:00"/>
    <x v="10"/>
    <x v="0"/>
    <x v="5"/>
    <n v="1.28"/>
    <n v="2.2200000000000002"/>
    <n v="43"/>
    <n v="28"/>
    <n v="59"/>
    <d v="2028-11-29T00:00:00"/>
  </r>
  <r>
    <d v="2026-08-25T00:00:00"/>
    <x v="9"/>
    <x v="4"/>
    <x v="5"/>
    <n v="2.08"/>
    <n v="2.82"/>
    <n v="7"/>
    <n v="38"/>
    <n v="12"/>
    <d v="2028-02-29T00:00:00"/>
  </r>
  <r>
    <d v="2026-08-25T00:00:00"/>
    <x v="4"/>
    <x v="4"/>
    <x v="5"/>
    <n v="1.76"/>
    <n v="2.81"/>
    <n v="16"/>
    <n v="116"/>
    <n v="39"/>
    <d v="2028-03-04T00:00:00"/>
  </r>
  <r>
    <d v="2026-08-26T00:00:00"/>
    <x v="24"/>
    <x v="7"/>
    <x v="2"/>
    <n v="1.07"/>
    <n v="1.5"/>
    <n v="13"/>
    <n v="63"/>
    <n v="26"/>
    <d v="2028-02-17T00:00:00"/>
  </r>
  <r>
    <d v="2026-08-26T00:00:00"/>
    <x v="16"/>
    <x v="10"/>
    <x v="0"/>
    <n v="2"/>
    <n v="3.34"/>
    <n v="13"/>
    <n v="72"/>
    <n v="19"/>
    <d v="2027-05-15T00:00:00"/>
  </r>
  <r>
    <d v="2026-08-26T00:00:00"/>
    <x v="20"/>
    <x v="10"/>
    <x v="2"/>
    <n v="2.87"/>
    <n v="4.5"/>
    <n v="8"/>
    <n v="32"/>
    <n v="19"/>
    <d v="2027-07-25T00:00:00"/>
  </r>
  <r>
    <d v="2026-08-27T00:00:00"/>
    <x v="5"/>
    <x v="5"/>
    <x v="1"/>
    <n v="3.29"/>
    <n v="4.4800000000000004"/>
    <n v="6"/>
    <n v="15"/>
    <n v="6"/>
    <d v="2027-11-14T00:00:00"/>
  </r>
  <r>
    <d v="2026-08-27T00:00:00"/>
    <x v="16"/>
    <x v="10"/>
    <x v="4"/>
    <n v="2.0499999999999998"/>
    <n v="3.04"/>
    <n v="19"/>
    <n v="30"/>
    <n v="16"/>
    <d v="2026-10-24T00:00:00"/>
  </r>
  <r>
    <d v="2026-08-27T00:00:00"/>
    <x v="15"/>
    <x v="9"/>
    <x v="4"/>
    <n v="1.67"/>
    <n v="2.79"/>
    <n v="6"/>
    <n v="4"/>
    <n v="14"/>
    <d v="2026-12-01T00:00:00"/>
  </r>
  <r>
    <d v="2026-08-27T00:00:00"/>
    <x v="16"/>
    <x v="10"/>
    <x v="3"/>
    <n v="2.04"/>
    <n v="3.32"/>
    <n v="10"/>
    <n v="55"/>
    <n v="19"/>
    <d v="2027-10-26T00:00:00"/>
  </r>
  <r>
    <d v="2026-08-27T00:00:00"/>
    <x v="9"/>
    <x v="4"/>
    <x v="5"/>
    <n v="2.17"/>
    <n v="3.39"/>
    <n v="8"/>
    <n v="47"/>
    <n v="17"/>
    <d v="2028-11-20T00:00:00"/>
  </r>
  <r>
    <d v="2026-08-28T00:00:00"/>
    <x v="11"/>
    <x v="8"/>
    <x v="6"/>
    <n v="3.34"/>
    <n v="5.39"/>
    <n v="16"/>
    <n v="31"/>
    <n v="25"/>
    <d v="2028-12-04T00:00:00"/>
  </r>
  <r>
    <d v="2026-08-29T00:00:00"/>
    <x v="6"/>
    <x v="0"/>
    <x v="6"/>
    <n v="1.56"/>
    <n v="2.4700000000000002"/>
    <n v="15"/>
    <n v="78"/>
    <n v="34"/>
    <d v="2028-05-19T00:00:00"/>
  </r>
  <r>
    <d v="2026-08-30T00:00:00"/>
    <x v="17"/>
    <x v="8"/>
    <x v="2"/>
    <n v="1.48"/>
    <n v="2.2599999999999998"/>
    <n v="20"/>
    <n v="76"/>
    <n v="30"/>
    <d v="2028-12-19T00:00:00"/>
  </r>
  <r>
    <d v="2026-08-30T00:00:00"/>
    <x v="5"/>
    <x v="5"/>
    <x v="6"/>
    <n v="2.93"/>
    <n v="5.04"/>
    <n v="5"/>
    <n v="19"/>
    <n v="9"/>
    <d v="2027-07-26T00:00:00"/>
  </r>
  <r>
    <d v="2026-08-30T00:00:00"/>
    <x v="4"/>
    <x v="4"/>
    <x v="1"/>
    <n v="1.78"/>
    <n v="2.5"/>
    <n v="27"/>
    <n v="107"/>
    <n v="28"/>
    <d v="2027-06-15T00:00:00"/>
  </r>
  <r>
    <d v="2026-09-01T00:00:00"/>
    <x v="26"/>
    <x v="9"/>
    <x v="2"/>
    <n v="2.15"/>
    <n v="3.06"/>
    <n v="4"/>
    <n v="26"/>
    <n v="12"/>
    <d v="2027-05-24T00:00:00"/>
  </r>
  <r>
    <d v="2026-09-02T00:00:00"/>
    <x v="12"/>
    <x v="5"/>
    <x v="1"/>
    <n v="2.65"/>
    <n v="4.1399999999999997"/>
    <n v="14"/>
    <n v="29"/>
    <n v="10"/>
    <d v="2027-08-27T00:00:00"/>
  </r>
  <r>
    <d v="2026-09-03T00:00:00"/>
    <x v="11"/>
    <x v="8"/>
    <x v="0"/>
    <n v="3.23"/>
    <n v="5.0199999999999996"/>
    <n v="6"/>
    <n v="7"/>
    <n v="23"/>
    <d v="2026-10-28T00:00:00"/>
  </r>
  <r>
    <d v="2026-09-03T00:00:00"/>
    <x v="26"/>
    <x v="9"/>
    <x v="2"/>
    <n v="2.35"/>
    <n v="3.93"/>
    <n v="4"/>
    <n v="19"/>
    <n v="6"/>
    <d v="2028-11-04T00:00:00"/>
  </r>
  <r>
    <d v="2026-09-03T00:00:00"/>
    <x v="29"/>
    <x v="7"/>
    <x v="1"/>
    <n v="1.94"/>
    <n v="2.68"/>
    <n v="16"/>
    <n v="73"/>
    <n v="43"/>
    <d v="2028-09-21T00:00:00"/>
  </r>
  <r>
    <d v="2026-09-03T00:00:00"/>
    <x v="28"/>
    <x v="3"/>
    <x v="4"/>
    <n v="1.23"/>
    <n v="1.93"/>
    <n v="11"/>
    <n v="23"/>
    <n v="12"/>
    <d v="2027-04-14T00:00:00"/>
  </r>
  <r>
    <d v="2026-09-03T00:00:00"/>
    <x v="2"/>
    <x v="2"/>
    <x v="3"/>
    <n v="0.97"/>
    <n v="1.61"/>
    <n v="8"/>
    <n v="61"/>
    <n v="17"/>
    <d v="2027-09-05T00:00:00"/>
  </r>
  <r>
    <d v="2026-09-04T00:00:00"/>
    <x v="12"/>
    <x v="5"/>
    <x v="2"/>
    <n v="2.39"/>
    <n v="3.89"/>
    <n v="10"/>
    <n v="11"/>
    <n v="11"/>
    <d v="2027-03-17T00:00:00"/>
  </r>
  <r>
    <d v="2026-09-04T00:00:00"/>
    <x v="16"/>
    <x v="10"/>
    <x v="0"/>
    <n v="1.89"/>
    <n v="2.8"/>
    <n v="11"/>
    <n v="43"/>
    <n v="19"/>
    <d v="2028-04-14T00:00:00"/>
  </r>
  <r>
    <d v="2026-09-04T00:00:00"/>
    <x v="8"/>
    <x v="7"/>
    <x v="1"/>
    <n v="3.01"/>
    <n v="4.88"/>
    <n v="19"/>
    <n v="31"/>
    <n v="35"/>
    <d v="2027-05-09T00:00:00"/>
  </r>
  <r>
    <d v="2026-09-04T00:00:00"/>
    <x v="14"/>
    <x v="1"/>
    <x v="3"/>
    <n v="2.4500000000000002"/>
    <n v="4.26"/>
    <n v="20"/>
    <n v="92"/>
    <n v="21"/>
    <d v="2027-12-30T00:00:00"/>
  </r>
  <r>
    <d v="2026-09-06T00:00:00"/>
    <x v="10"/>
    <x v="0"/>
    <x v="3"/>
    <n v="1.28"/>
    <n v="1.91"/>
    <n v="45"/>
    <n v="62"/>
    <n v="57"/>
    <d v="2027-12-06T00:00:00"/>
  </r>
  <r>
    <d v="2026-09-06T00:00:00"/>
    <x v="29"/>
    <x v="7"/>
    <x v="0"/>
    <n v="1.87"/>
    <n v="3.11"/>
    <n v="24"/>
    <n v="12"/>
    <n v="24"/>
    <d v="2028-10-26T00:00:00"/>
  </r>
  <r>
    <d v="2026-09-06T00:00:00"/>
    <x v="26"/>
    <x v="9"/>
    <x v="5"/>
    <n v="2.31"/>
    <n v="3.23"/>
    <n v="7"/>
    <n v="27"/>
    <n v="6"/>
    <d v="2028-06-11T00:00:00"/>
  </r>
  <r>
    <d v="2026-09-07T00:00:00"/>
    <x v="27"/>
    <x v="9"/>
    <x v="0"/>
    <n v="1.84"/>
    <n v="2.5499999999999998"/>
    <n v="7"/>
    <n v="34"/>
    <n v="14"/>
    <d v="2028-02-05T00:00:00"/>
  </r>
  <r>
    <d v="2026-09-07T00:00:00"/>
    <x v="14"/>
    <x v="1"/>
    <x v="6"/>
    <n v="2.4900000000000002"/>
    <n v="3.81"/>
    <n v="19"/>
    <n v="63"/>
    <n v="30"/>
    <d v="2028-09-10T00:00:00"/>
  </r>
  <r>
    <d v="2026-09-07T00:00:00"/>
    <x v="15"/>
    <x v="9"/>
    <x v="6"/>
    <n v="1.62"/>
    <n v="2.64"/>
    <n v="10"/>
    <n v="30"/>
    <n v="8"/>
    <d v="2028-07-13T00:00:00"/>
  </r>
  <r>
    <d v="2026-09-08T00:00:00"/>
    <x v="5"/>
    <x v="5"/>
    <x v="1"/>
    <n v="3.33"/>
    <n v="5.51"/>
    <n v="3"/>
    <n v="18"/>
    <n v="5"/>
    <d v="2028-12-21T00:00:00"/>
  </r>
  <r>
    <d v="2026-09-09T00:00:00"/>
    <x v="10"/>
    <x v="0"/>
    <x v="5"/>
    <n v="1.24"/>
    <n v="2.06"/>
    <n v="16"/>
    <n v="74"/>
    <n v="49"/>
    <d v="2028-12-18T00:00:00"/>
  </r>
  <r>
    <d v="2026-09-10T00:00:00"/>
    <x v="24"/>
    <x v="7"/>
    <x v="4"/>
    <n v="1.1299999999999999"/>
    <n v="1.81"/>
    <n v="21"/>
    <n v="37"/>
    <n v="34"/>
    <d v="2027-05-02T00:00:00"/>
  </r>
  <r>
    <d v="2026-09-10T00:00:00"/>
    <x v="18"/>
    <x v="11"/>
    <x v="2"/>
    <n v="0.38"/>
    <n v="0.63"/>
    <n v="18"/>
    <n v="66"/>
    <n v="14"/>
    <d v="2028-10-30T00:00:00"/>
  </r>
  <r>
    <d v="2026-09-11T00:00:00"/>
    <x v="10"/>
    <x v="0"/>
    <x v="4"/>
    <n v="1.1599999999999999"/>
    <n v="1.72"/>
    <n v="37"/>
    <n v="37"/>
    <n v="64"/>
    <d v="2028-09-15T00:00:00"/>
  </r>
  <r>
    <d v="2026-09-12T00:00:00"/>
    <x v="27"/>
    <x v="9"/>
    <x v="4"/>
    <n v="1.83"/>
    <n v="2.98"/>
    <n v="9"/>
    <n v="14"/>
    <n v="13"/>
    <d v="2028-07-11T00:00:00"/>
  </r>
  <r>
    <d v="2026-09-13T00:00:00"/>
    <x v="24"/>
    <x v="7"/>
    <x v="1"/>
    <n v="1.1499999999999999"/>
    <n v="2.0099999999999998"/>
    <n v="17"/>
    <n v="55"/>
    <n v="20"/>
    <d v="2028-11-07T00:00:00"/>
  </r>
  <r>
    <d v="2026-09-13T00:00:00"/>
    <x v="5"/>
    <x v="5"/>
    <x v="5"/>
    <n v="3.16"/>
    <n v="5.28"/>
    <n v="6"/>
    <n v="24"/>
    <n v="10"/>
    <d v="2028-05-28T00:00:00"/>
  </r>
  <r>
    <d v="2026-09-13T00:00:00"/>
    <x v="6"/>
    <x v="0"/>
    <x v="6"/>
    <n v="1.52"/>
    <n v="2.23"/>
    <n v="18"/>
    <n v="70"/>
    <n v="23"/>
    <d v="2028-08-18T00:00:00"/>
  </r>
  <r>
    <d v="2026-09-13T00:00:00"/>
    <x v="14"/>
    <x v="1"/>
    <x v="0"/>
    <n v="2.58"/>
    <n v="4.3899999999999997"/>
    <n v="14"/>
    <n v="40"/>
    <n v="36"/>
    <d v="2027-01-02T00:00:00"/>
  </r>
  <r>
    <d v="2026-09-16T00:00:00"/>
    <x v="24"/>
    <x v="7"/>
    <x v="4"/>
    <n v="1.07"/>
    <n v="1.79"/>
    <n v="10"/>
    <n v="15"/>
    <n v="26"/>
    <d v="2028-03-30T00:00:00"/>
  </r>
  <r>
    <d v="2026-09-17T00:00:00"/>
    <x v="27"/>
    <x v="9"/>
    <x v="5"/>
    <n v="1.91"/>
    <n v="3.03"/>
    <n v="5"/>
    <n v="24"/>
    <n v="8"/>
    <d v="2027-08-25T00:00:00"/>
  </r>
  <r>
    <d v="2026-09-19T00:00:00"/>
    <x v="8"/>
    <x v="7"/>
    <x v="0"/>
    <n v="2.81"/>
    <n v="4.76"/>
    <n v="13"/>
    <n v="41"/>
    <n v="33"/>
    <d v="2028-01-31T00:00:00"/>
  </r>
  <r>
    <d v="2026-09-21T00:00:00"/>
    <x v="23"/>
    <x v="1"/>
    <x v="5"/>
    <n v="2.12"/>
    <n v="3.31"/>
    <n v="28"/>
    <n v="74"/>
    <n v="26"/>
    <d v="2026-11-08T00:00:00"/>
  </r>
  <r>
    <d v="2026-09-21T00:00:00"/>
    <x v="4"/>
    <x v="4"/>
    <x v="4"/>
    <n v="1.76"/>
    <n v="2.82"/>
    <n v="12"/>
    <n v="22"/>
    <n v="47"/>
    <d v="2028-02-18T00:00:00"/>
  </r>
  <r>
    <d v="2026-09-21T00:00:00"/>
    <x v="19"/>
    <x v="10"/>
    <x v="6"/>
    <n v="4.33"/>
    <n v="7.26"/>
    <n v="12"/>
    <n v="49"/>
    <n v="12"/>
    <d v="2028-09-30T00:00:00"/>
  </r>
  <r>
    <d v="2026-09-22T00:00:00"/>
    <x v="13"/>
    <x v="6"/>
    <x v="1"/>
    <n v="4.24"/>
    <n v="7.38"/>
    <n v="14"/>
    <n v="11"/>
    <n v="15"/>
    <d v="2028-03-24T00:00:00"/>
  </r>
  <r>
    <d v="2026-09-22T00:00:00"/>
    <x v="6"/>
    <x v="0"/>
    <x v="3"/>
    <n v="1.57"/>
    <n v="2.71"/>
    <n v="10"/>
    <n v="27"/>
    <n v="24"/>
    <d v="2027-12-07T00:00:00"/>
  </r>
  <r>
    <d v="2026-09-23T00:00:00"/>
    <x v="18"/>
    <x v="11"/>
    <x v="3"/>
    <n v="0.41"/>
    <n v="0.63"/>
    <n v="8"/>
    <n v="66"/>
    <n v="23"/>
    <d v="2027-08-02T00:00:00"/>
  </r>
  <r>
    <d v="2026-09-24T00:00:00"/>
    <x v="6"/>
    <x v="0"/>
    <x v="3"/>
    <n v="1.49"/>
    <n v="2.4"/>
    <n v="14"/>
    <n v="54"/>
    <n v="36"/>
    <d v="2028-08-05T00:00:00"/>
  </r>
  <r>
    <d v="2026-09-25T00:00:00"/>
    <x v="8"/>
    <x v="7"/>
    <x v="6"/>
    <n v="2.89"/>
    <n v="4.4400000000000004"/>
    <n v="15"/>
    <n v="13"/>
    <n v="31"/>
    <d v="2028-07-13T00:00:00"/>
  </r>
  <r>
    <d v="2026-09-25T00:00:00"/>
    <x v="16"/>
    <x v="10"/>
    <x v="3"/>
    <n v="2.0699999999999998"/>
    <n v="2.98"/>
    <n v="10"/>
    <n v="46"/>
    <n v="17"/>
    <d v="2028-10-23T00:00:00"/>
  </r>
  <r>
    <d v="2026-09-25T00:00:00"/>
    <x v="23"/>
    <x v="1"/>
    <x v="5"/>
    <n v="2.09"/>
    <n v="3.16"/>
    <n v="26"/>
    <n v="33"/>
    <n v="45"/>
    <d v="2028-02-13T00:00:00"/>
  </r>
  <r>
    <d v="2026-09-25T00:00:00"/>
    <x v="15"/>
    <x v="9"/>
    <x v="3"/>
    <n v="1.81"/>
    <n v="3.15"/>
    <n v="11"/>
    <n v="6"/>
    <n v="11"/>
    <d v="2028-05-18T00:00:00"/>
  </r>
  <r>
    <d v="2026-09-26T00:00:00"/>
    <x v="23"/>
    <x v="1"/>
    <x v="6"/>
    <n v="1.89"/>
    <n v="2.82"/>
    <n v="20"/>
    <n v="69"/>
    <n v="42"/>
    <d v="2028-08-20T00:00:00"/>
  </r>
  <r>
    <d v="2026-09-26T00:00:00"/>
    <x v="24"/>
    <x v="7"/>
    <x v="3"/>
    <n v="1.04"/>
    <n v="1.58"/>
    <n v="14"/>
    <n v="50"/>
    <n v="18"/>
    <d v="2028-05-09T00:00:00"/>
  </r>
  <r>
    <d v="2026-09-26T00:00:00"/>
    <x v="20"/>
    <x v="10"/>
    <x v="6"/>
    <n v="3.19"/>
    <n v="4.88"/>
    <n v="6"/>
    <n v="60"/>
    <n v="18"/>
    <d v="2027-09-04T00:00:00"/>
  </r>
  <r>
    <d v="2026-09-26T00:00:00"/>
    <x v="7"/>
    <x v="6"/>
    <x v="0"/>
    <n v="3.92"/>
    <n v="5.92"/>
    <n v="11"/>
    <n v="9"/>
    <n v="18"/>
    <d v="2027-03-03T00:00:00"/>
  </r>
  <r>
    <d v="2026-09-26T00:00:00"/>
    <x v="10"/>
    <x v="0"/>
    <x v="0"/>
    <n v="1.1499999999999999"/>
    <n v="1.98"/>
    <n v="39"/>
    <n v="106"/>
    <n v="66"/>
    <d v="2027-08-23T00:00:00"/>
  </r>
  <r>
    <d v="2026-09-27T00:00:00"/>
    <x v="23"/>
    <x v="1"/>
    <x v="2"/>
    <n v="2.14"/>
    <n v="3.3"/>
    <n v="18"/>
    <n v="128"/>
    <n v="45"/>
    <d v="2028-07-01T00:00:00"/>
  </r>
  <r>
    <d v="2026-09-28T00:00:00"/>
    <x v="23"/>
    <x v="1"/>
    <x v="0"/>
    <n v="1.89"/>
    <n v="3.03"/>
    <n v="15"/>
    <n v="20"/>
    <n v="31"/>
    <d v="2027-08-18T00:00:00"/>
  </r>
  <r>
    <d v="2026-09-28T00:00:00"/>
    <x v="27"/>
    <x v="9"/>
    <x v="6"/>
    <n v="1.74"/>
    <n v="2.79"/>
    <n v="7"/>
    <n v="4"/>
    <n v="6"/>
    <d v="2028-09-10T00:00:00"/>
  </r>
  <r>
    <d v="2026-09-28T00:00:00"/>
    <x v="16"/>
    <x v="10"/>
    <x v="2"/>
    <n v="1.95"/>
    <n v="3.09"/>
    <n v="11"/>
    <n v="74"/>
    <n v="17"/>
    <d v="2027-04-26T00:00:00"/>
  </r>
  <r>
    <d v="2026-09-28T00:00:00"/>
    <x v="10"/>
    <x v="0"/>
    <x v="5"/>
    <n v="1.2"/>
    <n v="1.93"/>
    <n v="36"/>
    <n v="76"/>
    <n v="67"/>
    <d v="2027-12-20T00:00:00"/>
  </r>
  <r>
    <d v="2026-09-28T00:00:00"/>
    <x v="10"/>
    <x v="0"/>
    <x v="3"/>
    <n v="1.1599999999999999"/>
    <n v="2.02"/>
    <n v="41"/>
    <n v="62"/>
    <n v="38"/>
    <d v="2028-03-30T00:00:00"/>
  </r>
  <r>
    <d v="2026-09-29T00:00:00"/>
    <x v="1"/>
    <x v="1"/>
    <x v="3"/>
    <n v="1.1499999999999999"/>
    <n v="1.95"/>
    <n v="9"/>
    <n v="18"/>
    <n v="16"/>
    <d v="2028-10-11T00:00:00"/>
  </r>
  <r>
    <d v="2026-09-30T00:00:00"/>
    <x v="18"/>
    <x v="11"/>
    <x v="3"/>
    <n v="0.39"/>
    <n v="0.67"/>
    <n v="15"/>
    <n v="16"/>
    <n v="21"/>
    <d v="2028-04-24T00:00:00"/>
  </r>
  <r>
    <d v="2026-09-30T00:00:00"/>
    <x v="5"/>
    <x v="5"/>
    <x v="0"/>
    <n v="3.03"/>
    <n v="4.37"/>
    <n v="5"/>
    <n v="20"/>
    <n v="7"/>
    <d v="2028-01-30T00:00:00"/>
  </r>
  <r>
    <d v="2026-09-30T00:00:00"/>
    <x v="26"/>
    <x v="9"/>
    <x v="2"/>
    <n v="2.19"/>
    <n v="3.6"/>
    <n v="8"/>
    <n v="18"/>
    <n v="8"/>
    <d v="2028-01-22T00:00:00"/>
  </r>
  <r>
    <d v="2026-09-30T00:00:00"/>
    <x v="27"/>
    <x v="9"/>
    <x v="2"/>
    <n v="1.71"/>
    <n v="2.74"/>
    <n v="9"/>
    <n v="8"/>
    <n v="12"/>
    <d v="2028-11-16T00:00:00"/>
  </r>
  <r>
    <d v="2026-09-30T00:00:00"/>
    <x v="26"/>
    <x v="9"/>
    <x v="5"/>
    <n v="2.25"/>
    <n v="3.07"/>
    <n v="6"/>
    <n v="3"/>
    <n v="7"/>
    <d v="2027-01-17T00:00:00"/>
  </r>
  <r>
    <d v="2026-09-30T00:00:00"/>
    <x v="6"/>
    <x v="0"/>
    <x v="0"/>
    <n v="1.54"/>
    <n v="2.5"/>
    <n v="19"/>
    <n v="50"/>
    <n v="20"/>
    <d v="2028-09-1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39"/>
  </r>
  <r>
    <x v="1"/>
    <n v="37"/>
  </r>
  <r>
    <x v="2"/>
    <n v="34"/>
  </r>
  <r>
    <x v="3"/>
    <n v="27"/>
  </r>
  <r>
    <x v="4"/>
    <n v="2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3"/>
  </r>
  <r>
    <x v="1"/>
    <n v="7"/>
  </r>
  <r>
    <x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Ibuprofen 400mg"/>
    <x v="0"/>
    <n v="111"/>
    <n v="35"/>
    <s v="Sufficient Stock"/>
    <n v="76"/>
    <n v="375"/>
    <n v="1.85"/>
    <n v="693.75"/>
    <n v="2.5099999999999998"/>
    <n v="941.24999999999989"/>
    <n v="0.6599999999999997"/>
    <n v="247.49999999999989"/>
    <n v="0.26294820717131467"/>
    <n v="205.35000000000002"/>
    <n v="0"/>
    <n v="4.1138063493131843E-2"/>
  </r>
  <r>
    <s v="Loperamide 2mg"/>
    <x v="1"/>
    <n v="18"/>
    <n v="15"/>
    <s v="Sufficient Stock"/>
    <n v="3"/>
    <n v="128"/>
    <n v="1.1499999999999999"/>
    <n v="147.19999999999999"/>
    <n v="1.95"/>
    <n v="249.6"/>
    <n v="0.8"/>
    <n v="102.4"/>
    <n v="0.4102564102564103"/>
    <n v="20.7"/>
    <n v="0"/>
    <n v="1.090896217570859E-2"/>
  </r>
  <r>
    <s v="Loratadine 10mg"/>
    <x v="2"/>
    <n v="61"/>
    <n v="20"/>
    <s v="Sufficient Stock"/>
    <n v="41"/>
    <n v="182"/>
    <n v="0.97"/>
    <n v="176.54"/>
    <n v="1.61"/>
    <n v="293.02000000000004"/>
    <n v="0.64000000000000012"/>
    <n v="116.48000000000002"/>
    <n v="0.39751552795031059"/>
    <n v="59.17"/>
    <n v="0"/>
    <n v="1.280666705419123E-2"/>
  </r>
  <r>
    <s v="Ferrous Sulfate 325mg"/>
    <x v="3"/>
    <n v="23"/>
    <n v="20"/>
    <s v="Sufficient Stock"/>
    <n v="3"/>
    <n v="165"/>
    <n v="1.57"/>
    <n v="259.05"/>
    <n v="2.2999999999999998"/>
    <n v="379.49999999999994"/>
    <n v="0.72999999999999976"/>
    <n v="120.44999999999996"/>
    <n v="0.31739130434782603"/>
    <n v="36.11"/>
    <n v="0"/>
    <n v="1.658634273109539E-2"/>
  </r>
  <r>
    <s v="Metformin 500mg"/>
    <x v="4"/>
    <n v="22"/>
    <n v="35"/>
    <s v="Reorder Soon"/>
    <n v="-13"/>
    <n v="352"/>
    <n v="1.76"/>
    <n v="619.52"/>
    <n v="2.82"/>
    <n v="992.64"/>
    <n v="1.0599999999999998"/>
    <n v="373.11999999999995"/>
    <n v="0.37588652482269497"/>
    <n v="38.72"/>
    <n v="13"/>
    <n v="4.3384103421856467E-2"/>
  </r>
  <r>
    <s v="Timolol Eye Drops"/>
    <x v="5"/>
    <n v="20"/>
    <n v="15"/>
    <s v="Sufficient Stock"/>
    <n v="5"/>
    <n v="66"/>
    <n v="3.03"/>
    <n v="199.98"/>
    <n v="4.37"/>
    <n v="288.42"/>
    <n v="1.3400000000000003"/>
    <n v="88.440000000000026"/>
    <n v="0.30663615560640739"/>
    <n v="60.599999999999994"/>
    <n v="0"/>
    <n v="1.2605620475632498E-2"/>
  </r>
  <r>
    <s v="Diclofenac 50mg"/>
    <x v="0"/>
    <n v="50"/>
    <n v="35"/>
    <s v="Sufficient Stock"/>
    <n v="15"/>
    <n v="377"/>
    <n v="1.54"/>
    <n v="580.58000000000004"/>
    <n v="2.5"/>
    <n v="942.5"/>
    <n v="0.96"/>
    <n v="361.91999999999996"/>
    <n v="0.38399999999999995"/>
    <n v="77"/>
    <n v="0"/>
    <n v="4.1192695715566288E-2"/>
  </r>
  <r>
    <s v="Cefixime 200mg"/>
    <x v="6"/>
    <n v="9"/>
    <n v="15"/>
    <s v="Reorder Soon"/>
    <n v="-6"/>
    <n v="122"/>
    <n v="3.92"/>
    <n v="478.24"/>
    <n v="5.92"/>
    <n v="722.24"/>
    <n v="2"/>
    <n v="244"/>
    <n v="0.33783783783783783"/>
    <n v="35.28"/>
    <n v="6"/>
    <n v="3.1566061064838828E-2"/>
  </r>
  <r>
    <s v="Atorvastatin 20mg"/>
    <x v="7"/>
    <n v="13"/>
    <n v="20"/>
    <s v="Reorder Soon"/>
    <n v="-7"/>
    <n v="272"/>
    <n v="2.89"/>
    <n v="786.08"/>
    <n v="4.4400000000000004"/>
    <n v="1207.68"/>
    <n v="1.5500000000000003"/>
    <n v="421.60000000000008"/>
    <n v="0.34909909909909914"/>
    <n v="37.57"/>
    <n v="7"/>
    <n v="5.2782593911697713E-2"/>
  </r>
  <r>
    <s v="Glimepiride 2mg"/>
    <x v="4"/>
    <n v="47"/>
    <n v="15"/>
    <s v="Sufficient Stock"/>
    <n v="32"/>
    <n v="106"/>
    <n v="2.17"/>
    <n v="230.01999999999998"/>
    <n v="3.39"/>
    <n v="359.34000000000003"/>
    <n v="1.2200000000000002"/>
    <n v="129.32000000000002"/>
    <n v="0.35988200589970504"/>
    <n v="101.99"/>
    <n v="0"/>
    <n v="1.5705234247672777E-2"/>
  </r>
  <r>
    <s v="Paracetamol 500mg"/>
    <x v="0"/>
    <n v="62"/>
    <n v="35"/>
    <s v="Sufficient Stock"/>
    <n v="27"/>
    <n v="902"/>
    <n v="1.1599999999999999"/>
    <n v="1046.32"/>
    <n v="2.02"/>
    <n v="1822.04"/>
    <n v="0.8600000000000001"/>
    <n v="775.72000000000014"/>
    <n v="0.42574257425742584"/>
    <n v="71.92"/>
    <n v="0"/>
    <n v="7.9633675651554797E-2"/>
  </r>
  <r>
    <s v="Multivitamin Tablets"/>
    <x v="8"/>
    <n v="7"/>
    <n v="20"/>
    <s v="Reorder Soon"/>
    <n v="-13"/>
    <n v="239"/>
    <n v="3.23"/>
    <n v="771.97"/>
    <n v="5.0199999999999996"/>
    <n v="1199.78"/>
    <n v="1.7899999999999996"/>
    <n v="427.80999999999989"/>
    <n v="0.35657370517928277"/>
    <n v="22.61"/>
    <n v="13"/>
    <n v="5.243731826591206E-2"/>
  </r>
  <r>
    <s v="Artificial Tears"/>
    <x v="5"/>
    <n v="11"/>
    <n v="35"/>
    <s v="Reorder Soon"/>
    <n v="-24"/>
    <n v="275"/>
    <n v="2.39"/>
    <n v="657.25"/>
    <n v="3.89"/>
    <n v="1069.75"/>
    <n v="1.5"/>
    <n v="412.5"/>
    <n v="0.38560411311053983"/>
    <n v="26.290000000000003"/>
    <n v="24"/>
    <n v="4.6754255959392081E-2"/>
  </r>
  <r>
    <s v="Azithromycin 500mg"/>
    <x v="6"/>
    <n v="11"/>
    <n v="20"/>
    <s v="Reorder Soon"/>
    <n v="-9"/>
    <n v="178"/>
    <n v="4.24"/>
    <n v="754.72"/>
    <n v="7.38"/>
    <n v="1313.6399999999999"/>
    <n v="3.1399999999999997"/>
    <n v="558.91999999999996"/>
    <n v="0.42547425474254741"/>
    <n v="46.64"/>
    <n v="9"/>
    <n v="5.7413658143020151E-2"/>
  </r>
  <r>
    <s v="Pantoprazole 40mg"/>
    <x v="1"/>
    <n v="40"/>
    <n v="35"/>
    <s v="Sufficient Stock"/>
    <n v="5"/>
    <n v="337"/>
    <n v="2.58"/>
    <n v="869.46"/>
    <n v="4.3899999999999997"/>
    <n v="1479.4299999999998"/>
    <n v="1.8099999999999996"/>
    <n v="609.96999999999991"/>
    <n v="0.41230068337129838"/>
    <n v="103.2"/>
    <n v="0"/>
    <n v="6.4659639068944536E-2"/>
  </r>
  <r>
    <s v="Clotrimazole Cream 1%"/>
    <x v="9"/>
    <n v="6"/>
    <n v="15"/>
    <s v="Reorder Soon"/>
    <n v="-9"/>
    <n v="136"/>
    <n v="1.81"/>
    <n v="246.16"/>
    <n v="3.15"/>
    <n v="428.4"/>
    <n v="1.3399999999999999"/>
    <n v="182.23999999999998"/>
    <n v="0.42539682539682538"/>
    <n v="10.86"/>
    <n v="9"/>
    <n v="1.8723555272730605E-2"/>
  </r>
  <r>
    <s v="Cough Syrup 100ml"/>
    <x v="10"/>
    <n v="74"/>
    <n v="35"/>
    <s v="Sufficient Stock"/>
    <n v="39"/>
    <n v="313"/>
    <n v="1.95"/>
    <n v="610.35"/>
    <n v="3.09"/>
    <n v="967.17"/>
    <n v="1.1399999999999999"/>
    <n v="356.82"/>
    <n v="0.36893203883495146"/>
    <n v="144.29999999999998"/>
    <n v="0"/>
    <n v="4.2270917257532355E-2"/>
  </r>
  <r>
    <s v="Vitamin D3 1000IU"/>
    <x v="8"/>
    <n v="76"/>
    <n v="20"/>
    <s v="Sufficient Stock"/>
    <n v="56"/>
    <n v="196"/>
    <n v="1.48"/>
    <n v="290.08"/>
    <n v="2.2599999999999998"/>
    <n v="442.96"/>
    <n v="0.7799999999999998"/>
    <n v="152.87999999999997"/>
    <n v="0.34513274336283178"/>
    <n v="112.48"/>
    <n v="0"/>
    <n v="1.9359911399646941E-2"/>
  </r>
  <r>
    <s v="Oral Rehydration Salts"/>
    <x v="11"/>
    <n v="16"/>
    <n v="20"/>
    <s v="Reorder Soon"/>
    <n v="-4"/>
    <n v="241"/>
    <n v="0.39"/>
    <n v="93.990000000000009"/>
    <n v="0.67"/>
    <n v="161.47"/>
    <n v="0.28000000000000003"/>
    <n v="67.48"/>
    <n v="0.41791044776119407"/>
    <n v="6.24"/>
    <n v="4"/>
    <n v="7.0571719651909689E-3"/>
  </r>
  <r>
    <s v="Salbutamol Inhaler"/>
    <x v="10"/>
    <n v="49"/>
    <n v="15"/>
    <s v="Sufficient Stock"/>
    <n v="34"/>
    <n v="161"/>
    <n v="4.33"/>
    <n v="697.13"/>
    <n v="7.26"/>
    <n v="1168.8599999999999"/>
    <n v="2.9299999999999997"/>
    <n v="471.72999999999996"/>
    <n v="0.40358126721763088"/>
    <n v="212.17000000000002"/>
    <n v="0"/>
    <n v="5.1085935611773797E-2"/>
  </r>
  <r>
    <s v="Montelukast 10mg"/>
    <x v="10"/>
    <n v="60"/>
    <n v="20"/>
    <s v="Sufficient Stock"/>
    <n v="40"/>
    <n v="180"/>
    <n v="3.19"/>
    <n v="574.20000000000005"/>
    <n v="4.88"/>
    <n v="878.4"/>
    <n v="1.69"/>
    <n v="304.2"/>
    <n v="0.34631147540983609"/>
    <n v="191.4"/>
    <n v="0"/>
    <n v="3.8391155349128299E-2"/>
  </r>
  <r>
    <s v="Cetirizine 10mg"/>
    <x v="2"/>
    <n v="69"/>
    <n v="20"/>
    <s v="Sufficient Stock"/>
    <n v="49"/>
    <n v="275"/>
    <n v="0.85"/>
    <n v="233.75"/>
    <n v="1.1499999999999999"/>
    <n v="316.25"/>
    <n v="0.29999999999999993"/>
    <n v="82.499999999999986"/>
    <n v="0.26086956521739124"/>
    <n v="58.65"/>
    <n v="0"/>
    <n v="1.3821952275912826E-2"/>
  </r>
  <r>
    <s v="Amoxicillin 500mg"/>
    <x v="6"/>
    <n v="28"/>
    <n v="35"/>
    <s v="Reorder Soon"/>
    <n v="-7"/>
    <n v="277"/>
    <n v="3.42"/>
    <n v="947.34"/>
    <n v="5.27"/>
    <n v="1459.79"/>
    <n v="1.8499999999999996"/>
    <n v="512.44999999999993"/>
    <n v="0.35104364326375709"/>
    <n v="95.759999999999991"/>
    <n v="7"/>
    <n v="6.3801257590054644E-2"/>
  </r>
  <r>
    <s v="Omeprazole 20mg"/>
    <x v="1"/>
    <n v="20"/>
    <n v="35"/>
    <s v="Reorder Soon"/>
    <n v="-15"/>
    <n v="488"/>
    <n v="1.89"/>
    <n v="922.31999999999994"/>
    <n v="3.03"/>
    <n v="1478.6399999999999"/>
    <n v="1.1399999999999999"/>
    <n v="556.31999999999994"/>
    <n v="0.37623762376237624"/>
    <n v="37.799999999999997"/>
    <n v="15"/>
    <n v="6.4625111504365979E-2"/>
  </r>
  <r>
    <s v="Amlodipine 5mg"/>
    <x v="7"/>
    <n v="50"/>
    <n v="20"/>
    <s v="Sufficient Stock"/>
    <n v="30"/>
    <n v="188"/>
    <n v="1.04"/>
    <n v="195.52"/>
    <n v="1.58"/>
    <n v="297.04000000000002"/>
    <n v="0.54"/>
    <n v="101.52000000000001"/>
    <n v="0.34177215189873417"/>
    <n v="52"/>
    <n v="0"/>
    <n v="1.2982364281540383E-2"/>
  </r>
  <r>
    <s v="Vitamin C 500mg"/>
    <x v="8"/>
    <n v="63"/>
    <n v="35"/>
    <s v="Sufficient Stock"/>
    <n v="28"/>
    <n v="387"/>
    <n v="1.0900000000000001"/>
    <n v="421.83000000000004"/>
    <n v="1.77"/>
    <n v="684.99"/>
    <n v="0.67999999999999994"/>
    <n v="263.15999999999997"/>
    <n v="0.38418079096045193"/>
    <n v="68.67"/>
    <n v="0"/>
    <n v="2.9938020836292573E-2"/>
  </r>
  <r>
    <s v="Mupirocin Ointment 2%"/>
    <x v="9"/>
    <n v="3"/>
    <n v="15"/>
    <s v="Reorder Soon"/>
    <n v="-12"/>
    <n v="96"/>
    <n v="2.25"/>
    <n v="216"/>
    <n v="3.07"/>
    <n v="294.71999999999997"/>
    <n v="0.81999999999999984"/>
    <n v="78.719999999999985"/>
    <n v="0.26710097719869702"/>
    <n v="6.75"/>
    <n v="12"/>
    <n v="1.2880966876702064E-2"/>
  </r>
  <r>
    <s v="Hydrocortisone Cream 1%"/>
    <x v="9"/>
    <n v="8"/>
    <n v="15"/>
    <s v="Reorder Soon"/>
    <n v="-7"/>
    <n v="95"/>
    <n v="1.71"/>
    <n v="162.44999999999999"/>
    <n v="2.74"/>
    <n v="260.3"/>
    <n v="1.0300000000000002"/>
    <n v="97.850000000000023"/>
    <n v="0.37591240875912418"/>
    <n v="13.68"/>
    <n v="7"/>
    <n v="1.1376613999747379E-2"/>
  </r>
  <r>
    <s v="Calcium Carbonate 500mg"/>
    <x v="3"/>
    <n v="23"/>
    <n v="15"/>
    <s v="Sufficient Stock"/>
    <n v="8"/>
    <n v="153"/>
    <n v="1.23"/>
    <n v="188.19"/>
    <n v="1.93"/>
    <n v="295.28999999999996"/>
    <n v="0.7"/>
    <n v="107.1"/>
    <n v="0.36269430051813473"/>
    <n v="28.29"/>
    <n v="0"/>
    <n v="1.2905879170132167E-2"/>
  </r>
  <r>
    <s v="Losartan 50mg"/>
    <x v="7"/>
    <n v="12"/>
    <n v="15"/>
    <s v="Reorder Soon"/>
    <n v="-3"/>
    <n v="156"/>
    <n v="1.87"/>
    <n v="291.72000000000003"/>
    <n v="3.11"/>
    <n v="485.15999999999997"/>
    <n v="1.2399999999999998"/>
    <n v="193.43999999999997"/>
    <n v="0.39871382636655944"/>
    <n v="22.44"/>
    <n v="3"/>
    <n v="2.120429522903356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24BFAE-3521-43CE-B89F-3F97D826DB6B}" name="PivotTable1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6" firstHeaderRow="1" firstDataRow="1" firstDataCol="1"/>
  <pivotFields count="17">
    <pivotField showAll="0"/>
    <pivotField axis="axisRow" showAll="0">
      <items count="13">
        <item x="2"/>
        <item x="0"/>
        <item x="6"/>
        <item x="7"/>
        <item x="9"/>
        <item x="4"/>
        <item x="1"/>
        <item x="11"/>
        <item x="5"/>
        <item x="10"/>
        <item x="3"/>
        <item x="8"/>
        <item t="default"/>
      </items>
    </pivotField>
    <pivotField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dataField="1" numFmtId="44" showAll="0"/>
    <pivotField numFmtId="44" showAll="0"/>
    <pivotField numFmtId="44" showAll="0"/>
    <pivotField numFmtId="9" showAll="0"/>
    <pivotField numFmtId="44" showAll="0"/>
    <pivotField showAll="0"/>
    <pivotField numFmtId="9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 Revenu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85F4B-EB58-4791-A56C-DC38F854ABA9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6" firstHeaderRow="1" firstDataRow="1" firstDataCol="1"/>
  <pivotFields count="17">
    <pivotField showAll="0"/>
    <pivotField axis="axisRow" showAll="0">
      <items count="13">
        <item x="2"/>
        <item x="0"/>
        <item x="6"/>
        <item x="7"/>
        <item x="9"/>
        <item x="4"/>
        <item x="1"/>
        <item x="11"/>
        <item x="5"/>
        <item x="10"/>
        <item x="3"/>
        <item x="8"/>
        <item t="default"/>
      </items>
    </pivotField>
    <pivotField showAll="0"/>
    <pivotField showAll="0"/>
    <pivotField showAll="0"/>
    <pivotField showAll="0"/>
    <pivotField showAll="0"/>
    <pivotField numFmtId="44" showAll="0"/>
    <pivotField numFmtId="44" showAll="0"/>
    <pivotField numFmtId="44" showAll="0"/>
    <pivotField numFmtId="44" showAll="0"/>
    <pivotField numFmtId="44" showAll="0"/>
    <pivotField dataField="1" numFmtId="44" showAll="0"/>
    <pivotField numFmtId="9" showAll="0"/>
    <pivotField numFmtId="44" showAll="0"/>
    <pivotField showAll="0"/>
    <pivotField numFmtId="9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Profit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BB0536-0A46-49C3-8EC5-D0795E8C13F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0">
    <pivotField numFmtId="14" showAll="0"/>
    <pivotField axis="axisRow" showAll="0">
      <items count="31">
        <item x="24"/>
        <item x="22"/>
        <item x="12"/>
        <item x="8"/>
        <item x="13"/>
        <item x="28"/>
        <item x="7"/>
        <item x="21"/>
        <item x="15"/>
        <item x="16"/>
        <item x="6"/>
        <item x="3"/>
        <item x="9"/>
        <item x="27"/>
        <item x="0"/>
        <item x="1"/>
        <item x="2"/>
        <item x="29"/>
        <item x="4"/>
        <item x="20"/>
        <item x="11"/>
        <item x="26"/>
        <item x="23"/>
        <item x="18"/>
        <item x="14"/>
        <item x="10"/>
        <item x="19"/>
        <item x="5"/>
        <item x="25"/>
        <item x="17"/>
        <item t="default"/>
      </items>
    </pivotField>
    <pivotField axis="axisRow" showAll="0">
      <items count="13">
        <item sd="0" x="2"/>
        <item sd="0" x="0"/>
        <item sd="0" x="6"/>
        <item sd="0" x="7"/>
        <item sd="0" x="9"/>
        <item sd="0" x="4"/>
        <item sd="0" x="1"/>
        <item sd="0" x="11"/>
        <item sd="0" x="5"/>
        <item sd="0" x="10"/>
        <item sd="0" x="3"/>
        <item sd="0" x="8"/>
        <item t="default" sd="0"/>
      </items>
    </pivotField>
    <pivotField showAll="0"/>
    <pivotField numFmtId="44" showAll="0"/>
    <pivotField numFmtId="44" showAll="0"/>
    <pivotField dataField="1" numFmtId="1" showAll="0"/>
    <pivotField numFmtId="1" showAll="0"/>
    <pivotField numFmtId="1" showAll="0"/>
    <pivotField numFmtId="22" showAll="0"/>
  </pivotFields>
  <rowFields count="2">
    <field x="2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 Sold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44CBF-5894-47CA-8206-8219DAC01D6C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2:N16" firstHeaderRow="1" firstDataRow="1" firstDataCol="1"/>
  <pivotFields count="2"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Number Of Medicin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599A2-6803-418A-A81B-6D1E3B1F1823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9" firstHeaderRow="1" firstDataRow="1" firstDataCol="1"/>
  <pivotFields count="2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 Sol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31B19-E116-4E6A-BB00-02691DCE354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1" firstHeaderRow="1" firstDataRow="1" firstDataCol="1"/>
  <pivotFields count="10">
    <pivotField numFmtId="14" showAll="0"/>
    <pivotField showAll="0"/>
    <pivotField showAll="0"/>
    <pivotField axis="axisRow" showAll="0" sortType="descending">
      <items count="8">
        <item x="4"/>
        <item x="3"/>
        <item x="2"/>
        <item x="1"/>
        <item x="5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numFmtId="44" showAll="0"/>
    <pivotField dataField="1" numFmtId="1" showAll="0"/>
    <pivotField numFmtId="1" showAll="0"/>
    <pivotField numFmtId="1" showAll="0"/>
    <pivotField numFmtId="22" showAll="0"/>
  </pivotFields>
  <rowFields count="1">
    <field x="3"/>
  </rowFields>
  <rowItems count="8">
    <i>
      <x v="1"/>
    </i>
    <i>
      <x v="4"/>
    </i>
    <i>
      <x v="2"/>
    </i>
    <i>
      <x v="3"/>
    </i>
    <i>
      <x v="5"/>
    </i>
    <i>
      <x v="6"/>
    </i>
    <i>
      <x/>
    </i>
    <i t="grand">
      <x/>
    </i>
  </rowItems>
  <colItems count="1">
    <i/>
  </colItems>
  <dataFields count="1">
    <dataField name="Sum of Quantity Sold" fld="6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65155-3816-453C-8B04-586002171E60}" name="Table1" displayName="Table1" ref="A1:J501" totalsRowShown="0" headerRowDxfId="35" headerRowBorderDxfId="34" tableBorderDxfId="33" totalsRowBorderDxfId="32">
  <autoFilter ref="A1:J501" xr:uid="{5B365155-3816-453C-8B04-586002171E60}"/>
  <tableColumns count="10">
    <tableColumn id="1" xr3:uid="{E4FA14DE-7BA4-4063-A82D-63D22B3C9FDA}" name="Date" dataDxfId="31"/>
    <tableColumn id="2" xr3:uid="{947050D3-E575-4972-ADD4-6414A2CB05B2}" name="Medicine" dataDxfId="30"/>
    <tableColumn id="3" xr3:uid="{C7EBD881-A30B-4637-B92B-A89FD65F770B}" name="Category" dataDxfId="29"/>
    <tableColumn id="4" xr3:uid="{691E7E42-659B-41E2-9754-2BA2C006AC49}" name="Supplier" dataDxfId="28"/>
    <tableColumn id="5" xr3:uid="{F68277CE-2043-4462-AE60-6D222AC5F900}" name="Purchase Price" dataDxfId="22" dataCellStyle="Currency"/>
    <tableColumn id="6" xr3:uid="{52420543-FC4B-4493-8E30-C39406093B4D}" name="Selling Price" dataDxfId="21" dataCellStyle="Currency"/>
    <tableColumn id="7" xr3:uid="{DC81920C-F549-4031-B91A-A07DF9397A73}" name="Quantity Sold" dataDxfId="27"/>
    <tableColumn id="8" xr3:uid="{48944751-1EFB-4A2D-998D-E2BD6F92F47D}" name="Current Stock" dataDxfId="26"/>
    <tableColumn id="9" xr3:uid="{9DC8B4CC-13EA-4438-9D04-69E04F6D0249}" name="Reorder Level" dataDxfId="25"/>
    <tableColumn id="10" xr3:uid="{9D7E2CDB-573D-4A6A-87A6-138E1D86386A}" name="Expiry Date" dataDxfId="24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D4EBF0-E062-479F-B4A6-740011BE81EB}" name="Table2" displayName="Table2" ref="A1:Q31" totalsRowShown="0" headerRowDxfId="20" headerRowBorderDxfId="18" tableBorderDxfId="19" totalsRowBorderDxfId="17">
  <autoFilter ref="A1:Q31" xr:uid="{1AD4EBF0-E062-479F-B4A6-740011BE81EB}"/>
  <tableColumns count="17">
    <tableColumn id="1" xr3:uid="{5EFE70EC-B0A1-4427-A5F6-9DA7F52D12F1}" name="Medicine" dataDxfId="16"/>
    <tableColumn id="2" xr3:uid="{FBC5E2B3-7E9A-4B41-8097-E27ECD0BEB61}" name="Category" dataDxfId="15">
      <calculatedColumnFormula>VLOOKUP(A2, 'Raw Data '!B2:C501, 2, FALSE)</calculatedColumnFormula>
    </tableColumn>
    <tableColumn id="3" xr3:uid="{735005B9-FE40-476F-94EB-A887DEEB84D6}" name="Current Stock" dataDxfId="14">
      <calculatedColumnFormula>LOOKUP(2,1/('Raw Data '!$B$2:$B$1000=A2), 'Raw Data '!$H$2:$H$1000)</calculatedColumnFormula>
    </tableColumn>
    <tableColumn id="4" xr3:uid="{C4C067FA-7753-4E85-B509-392E6600EAC7}" name="Reorder Level " dataDxfId="13">
      <calculatedColumnFormula>VLOOKUP(A2, 'Raw Data '!$B$2:$I$501, 8, FALSE)</calculatedColumnFormula>
    </tableColumn>
    <tableColumn id="5" xr3:uid="{9744C4CE-4DE5-4C77-831C-C4FA4A814131}" name="Stock Status " dataDxfId="12">
      <calculatedColumnFormula>_xlfn.IFS(C2&gt;D2, "Sufficient Stock", C2=0, "Out Of Stock", C2&lt;=D2, "Reorder Soon" )</calculatedColumnFormula>
    </tableColumn>
    <tableColumn id="6" xr3:uid="{90AE9359-2E0B-4F52-8E0F-C716169BF389}" name="Stock Difference " dataDxfId="11">
      <calculatedColumnFormula>SUM(C2-D2)</calculatedColumnFormula>
    </tableColumn>
    <tableColumn id="7" xr3:uid="{B544BFD2-236E-41B9-ADFD-9957401065FB}" name="Quantity Sold " dataDxfId="10">
      <calculatedColumnFormula>SUMIF(Table1[Medicine], Table2[[#This Row],[Medicine]],Table1[Quantity Sold])</calculatedColumnFormula>
    </tableColumn>
    <tableColumn id="8" xr3:uid="{9E06C60F-07EC-44B4-962F-EC3D396D718D}" name="Purchase Price " dataDxfId="9" dataCellStyle="Currency">
      <calculatedColumnFormula>VLOOKUP(A2,'Raw Data '!B2:E501, 4, FALSE)</calculatedColumnFormula>
    </tableColumn>
    <tableColumn id="9" xr3:uid="{A233AA67-EF3A-4A6A-B39F-DFEB579B2699}" name="Total Purchase Cost" dataDxfId="8">
      <calculatedColumnFormula>SUM(G2*H2)</calculatedColumnFormula>
    </tableColumn>
    <tableColumn id="10" xr3:uid="{D2F10134-C151-4978-9147-4DAAF73B29C4}" name="Selling Price" dataDxfId="7" dataCellStyle="Currency">
      <calculatedColumnFormula>VLOOKUP(A2,'Raw Data '!B2:F501, 5, FALSE)</calculatedColumnFormula>
    </tableColumn>
    <tableColumn id="11" xr3:uid="{CCB77CC2-05B0-4C25-82C6-72D5FD0ADAED}" name="Total Sales Revenue" dataDxfId="6">
      <calculatedColumnFormula>SUM(G2*J2)</calculatedColumnFormula>
    </tableColumn>
    <tableColumn id="12" xr3:uid="{DEC470EC-A428-4066-9FB5-D047D13FAA68}" name="Profit Per Unit " dataDxfId="5">
      <calculatedColumnFormula>SUM(J2-H2)</calculatedColumnFormula>
    </tableColumn>
    <tableColumn id="13" xr3:uid="{12BEC325-8955-4B7C-AE4F-E20007A628A8}" name="Total Profit" dataDxfId="4">
      <calculatedColumnFormula>SUM(G2*L2)</calculatedColumnFormula>
    </tableColumn>
    <tableColumn id="14" xr3:uid="{E79ACA93-FCD7-49CD-9E43-4EC192FE0A3A}" name="Profit Margin %" dataDxfId="3" dataCellStyle="Percent">
      <calculatedColumnFormula>IFERROR(M2/K2, 0)</calculatedColumnFormula>
    </tableColumn>
    <tableColumn id="15" xr3:uid="{A3C1E8D1-D51C-4997-9507-82E6BF0758FC}" name="Inventory Value" dataDxfId="2">
      <calculatedColumnFormula>SUM(C2*H2)</calculatedColumnFormula>
    </tableColumn>
    <tableColumn id="16" xr3:uid="{5CE2C543-AB9B-4416-9A47-8B59FAD6092C}" name="Reorder Quantity" dataDxfId="1">
      <calculatedColumnFormula>MAX(D2-C2, 0)</calculatedColumnFormula>
    </tableColumn>
    <tableColumn id="17" xr3:uid="{C806C576-D429-4C20-A21F-38DD5B107B8B}" name="Sales Contribution %" dataDxfId="0" dataCellStyle="Percent">
      <calculatedColumnFormula>IFERROR(K2/SUM($K$2:$K$31),0)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F24D-D6BF-47E2-8201-55ADC83ED152}">
  <dimension ref="A1:N501"/>
  <sheetViews>
    <sheetView workbookViewId="0">
      <pane ySplit="1" topLeftCell="A9" activePane="bottomLeft" state="frozen"/>
      <selection pane="bottomLeft" activeCell="B15" sqref="B15"/>
    </sheetView>
  </sheetViews>
  <sheetFormatPr defaultRowHeight="14.4" x14ac:dyDescent="0.3"/>
  <cols>
    <col min="1" max="1" width="11.77734375" customWidth="1"/>
    <col min="2" max="2" width="22.6640625" bestFit="1" customWidth="1"/>
    <col min="3" max="3" width="14" bestFit="1" customWidth="1"/>
    <col min="4" max="4" width="19.77734375" bestFit="1" customWidth="1"/>
    <col min="5" max="5" width="16.44140625" customWidth="1"/>
    <col min="6" max="6" width="14" customWidth="1"/>
    <col min="7" max="7" width="15.6640625" customWidth="1"/>
    <col min="8" max="9" width="15.5546875" customWidth="1"/>
    <col min="10" max="10" width="14.6640625" bestFit="1" customWidth="1"/>
    <col min="14" max="14" width="22.6640625" bestFit="1" customWidth="1"/>
    <col min="15" max="15" width="10.33203125" customWidth="1"/>
  </cols>
  <sheetData>
    <row r="1" spans="1:14" ht="15.6" x14ac:dyDescent="0.3">
      <c r="A1" s="16" t="s">
        <v>7</v>
      </c>
      <c r="B1" s="17" t="s">
        <v>0</v>
      </c>
      <c r="C1" s="17" t="s">
        <v>1</v>
      </c>
      <c r="D1" s="17" t="s">
        <v>2</v>
      </c>
      <c r="E1" s="17" t="s">
        <v>3</v>
      </c>
      <c r="F1" s="17" t="s">
        <v>8</v>
      </c>
      <c r="G1" s="17" t="s">
        <v>9</v>
      </c>
      <c r="H1" s="17" t="s">
        <v>4</v>
      </c>
      <c r="I1" s="17" t="s">
        <v>5</v>
      </c>
      <c r="J1" s="18" t="s">
        <v>6</v>
      </c>
    </row>
    <row r="2" spans="1:14" x14ac:dyDescent="0.3">
      <c r="A2" s="14">
        <v>46023</v>
      </c>
      <c r="B2" s="7" t="s">
        <v>10</v>
      </c>
      <c r="C2" s="7" t="s">
        <v>11</v>
      </c>
      <c r="D2" s="7" t="s">
        <v>12</v>
      </c>
      <c r="E2" s="54">
        <v>1.85</v>
      </c>
      <c r="F2" s="54">
        <v>2.5099999999999998</v>
      </c>
      <c r="G2" s="13">
        <v>18</v>
      </c>
      <c r="H2" s="13">
        <v>15</v>
      </c>
      <c r="I2" s="42">
        <v>35</v>
      </c>
      <c r="J2" s="15">
        <v>46868</v>
      </c>
    </row>
    <row r="3" spans="1:14" x14ac:dyDescent="0.3">
      <c r="A3" s="14">
        <v>46024</v>
      </c>
      <c r="B3" s="7" t="s">
        <v>13</v>
      </c>
      <c r="C3" s="7" t="s">
        <v>14</v>
      </c>
      <c r="D3" s="7" t="s">
        <v>15</v>
      </c>
      <c r="E3" s="55">
        <v>1.1499999999999999</v>
      </c>
      <c r="F3" s="55">
        <v>1.95</v>
      </c>
      <c r="G3" s="13">
        <v>4</v>
      </c>
      <c r="H3" s="13">
        <v>40</v>
      </c>
      <c r="I3" s="43">
        <v>15</v>
      </c>
      <c r="J3" s="15">
        <v>46431</v>
      </c>
    </row>
    <row r="4" spans="1:14" x14ac:dyDescent="0.3">
      <c r="A4" s="14">
        <v>46024</v>
      </c>
      <c r="B4" s="7" t="s">
        <v>16</v>
      </c>
      <c r="C4" s="7" t="s">
        <v>17</v>
      </c>
      <c r="D4" s="7" t="s">
        <v>12</v>
      </c>
      <c r="E4" s="54">
        <v>0.97</v>
      </c>
      <c r="F4" s="54">
        <v>1.61</v>
      </c>
      <c r="G4" s="13">
        <v>16</v>
      </c>
      <c r="H4" s="13">
        <v>12</v>
      </c>
      <c r="I4" s="42">
        <v>20</v>
      </c>
      <c r="J4" s="15">
        <v>46502</v>
      </c>
    </row>
    <row r="5" spans="1:14" x14ac:dyDescent="0.3">
      <c r="A5" s="14">
        <v>46025</v>
      </c>
      <c r="B5" s="7" t="s">
        <v>18</v>
      </c>
      <c r="C5" s="7" t="s">
        <v>19</v>
      </c>
      <c r="D5" s="7" t="s">
        <v>20</v>
      </c>
      <c r="E5" s="55">
        <v>1.57</v>
      </c>
      <c r="F5" s="55">
        <v>2.2999999999999998</v>
      </c>
      <c r="G5" s="13">
        <v>13</v>
      </c>
      <c r="H5" s="13">
        <v>16</v>
      </c>
      <c r="I5" s="43">
        <v>20</v>
      </c>
      <c r="J5" s="15">
        <v>46754</v>
      </c>
      <c r="N5" s="1"/>
    </row>
    <row r="6" spans="1:14" x14ac:dyDescent="0.3">
      <c r="A6" s="14">
        <v>46026</v>
      </c>
      <c r="B6" s="7" t="s">
        <v>21</v>
      </c>
      <c r="C6" s="7" t="s">
        <v>22</v>
      </c>
      <c r="D6" s="7" t="s">
        <v>20</v>
      </c>
      <c r="E6" s="54">
        <v>1.76</v>
      </c>
      <c r="F6" s="54">
        <v>2.82</v>
      </c>
      <c r="G6" s="13">
        <v>18</v>
      </c>
      <c r="H6" s="13">
        <v>56</v>
      </c>
      <c r="I6" s="42">
        <v>35</v>
      </c>
      <c r="J6" s="15">
        <v>46479</v>
      </c>
      <c r="N6" s="1"/>
    </row>
    <row r="7" spans="1:14" x14ac:dyDescent="0.3">
      <c r="A7" s="14">
        <v>46027</v>
      </c>
      <c r="B7" s="7" t="s">
        <v>23</v>
      </c>
      <c r="C7" s="7" t="s">
        <v>24</v>
      </c>
      <c r="D7" s="7" t="s">
        <v>20</v>
      </c>
      <c r="E7" s="55">
        <v>3.03</v>
      </c>
      <c r="F7" s="55">
        <v>4.37</v>
      </c>
      <c r="G7" s="13">
        <v>3</v>
      </c>
      <c r="H7" s="13">
        <v>8</v>
      </c>
      <c r="I7" s="43">
        <v>15</v>
      </c>
      <c r="J7" s="15">
        <v>46755</v>
      </c>
      <c r="N7" s="1"/>
    </row>
    <row r="8" spans="1:14" x14ac:dyDescent="0.3">
      <c r="A8" s="14">
        <v>46027</v>
      </c>
      <c r="B8" s="7" t="s">
        <v>25</v>
      </c>
      <c r="C8" s="7" t="s">
        <v>11</v>
      </c>
      <c r="D8" s="7" t="s">
        <v>26</v>
      </c>
      <c r="E8" s="54">
        <v>1.54</v>
      </c>
      <c r="F8" s="54">
        <v>2.5</v>
      </c>
      <c r="G8" s="13">
        <v>15</v>
      </c>
      <c r="H8" s="13">
        <v>84</v>
      </c>
      <c r="I8" s="42">
        <v>35</v>
      </c>
      <c r="J8" s="15">
        <v>46765</v>
      </c>
      <c r="N8" s="1"/>
    </row>
    <row r="9" spans="1:14" x14ac:dyDescent="0.3">
      <c r="A9" s="14">
        <v>46027</v>
      </c>
      <c r="B9" s="7" t="s">
        <v>10</v>
      </c>
      <c r="C9" s="7" t="s">
        <v>11</v>
      </c>
      <c r="D9" s="7" t="s">
        <v>26</v>
      </c>
      <c r="E9" s="55">
        <v>1.85</v>
      </c>
      <c r="F9" s="55">
        <v>2.5099999999999998</v>
      </c>
      <c r="G9" s="13">
        <v>16</v>
      </c>
      <c r="H9" s="13">
        <v>80</v>
      </c>
      <c r="I9" s="43">
        <v>35</v>
      </c>
      <c r="J9" s="15">
        <v>46572</v>
      </c>
      <c r="N9" s="1"/>
    </row>
    <row r="10" spans="1:14" x14ac:dyDescent="0.3">
      <c r="A10" s="14">
        <v>46028</v>
      </c>
      <c r="B10" s="7" t="s">
        <v>27</v>
      </c>
      <c r="C10" s="7" t="s">
        <v>28</v>
      </c>
      <c r="D10" s="7" t="s">
        <v>20</v>
      </c>
      <c r="E10" s="54">
        <v>3.92</v>
      </c>
      <c r="F10" s="54">
        <v>5.92</v>
      </c>
      <c r="G10" s="13">
        <v>13</v>
      </c>
      <c r="H10" s="13">
        <v>6</v>
      </c>
      <c r="I10" s="42">
        <v>15</v>
      </c>
      <c r="J10" s="15">
        <v>46594</v>
      </c>
      <c r="N10" s="1"/>
    </row>
    <row r="11" spans="1:14" x14ac:dyDescent="0.3">
      <c r="A11" s="14">
        <v>46028</v>
      </c>
      <c r="B11" s="7" t="s">
        <v>29</v>
      </c>
      <c r="C11" s="7" t="s">
        <v>30</v>
      </c>
      <c r="D11" s="7" t="s">
        <v>26</v>
      </c>
      <c r="E11" s="55">
        <v>2.89</v>
      </c>
      <c r="F11" s="55">
        <v>4.4400000000000004</v>
      </c>
      <c r="G11" s="13">
        <v>24</v>
      </c>
      <c r="H11" s="13">
        <v>61</v>
      </c>
      <c r="I11" s="43">
        <v>20</v>
      </c>
      <c r="J11" s="15">
        <v>46331</v>
      </c>
      <c r="N11" s="1"/>
    </row>
    <row r="12" spans="1:14" x14ac:dyDescent="0.3">
      <c r="A12" s="14">
        <v>46028</v>
      </c>
      <c r="B12" s="7" t="s">
        <v>13</v>
      </c>
      <c r="C12" s="7" t="s">
        <v>14</v>
      </c>
      <c r="D12" s="7" t="s">
        <v>31</v>
      </c>
      <c r="E12" s="54">
        <v>1.1499999999999999</v>
      </c>
      <c r="F12" s="54">
        <v>1.95</v>
      </c>
      <c r="G12" s="13">
        <v>4</v>
      </c>
      <c r="H12" s="13">
        <v>5</v>
      </c>
      <c r="I12" s="42">
        <v>15</v>
      </c>
      <c r="J12" s="15">
        <v>46609</v>
      </c>
      <c r="N12" s="1"/>
    </row>
    <row r="13" spans="1:14" x14ac:dyDescent="0.3">
      <c r="A13" s="14">
        <v>46029</v>
      </c>
      <c r="B13" s="7" t="s">
        <v>10</v>
      </c>
      <c r="C13" s="7" t="s">
        <v>11</v>
      </c>
      <c r="D13" s="7" t="s">
        <v>26</v>
      </c>
      <c r="E13" s="55">
        <v>1.85</v>
      </c>
      <c r="F13" s="55">
        <v>2.5099999999999998</v>
      </c>
      <c r="G13" s="13">
        <v>12</v>
      </c>
      <c r="H13" s="13">
        <v>49</v>
      </c>
      <c r="I13" s="43">
        <v>35</v>
      </c>
      <c r="J13" s="15">
        <v>46753</v>
      </c>
      <c r="N13" s="1"/>
    </row>
    <row r="14" spans="1:14" x14ac:dyDescent="0.3">
      <c r="A14" s="14">
        <v>46030</v>
      </c>
      <c r="B14" s="7" t="s">
        <v>32</v>
      </c>
      <c r="C14" s="7" t="s">
        <v>22</v>
      </c>
      <c r="D14" s="7" t="s">
        <v>15</v>
      </c>
      <c r="E14" s="54">
        <v>2.17</v>
      </c>
      <c r="F14" s="54">
        <v>3.39</v>
      </c>
      <c r="G14" s="13">
        <v>12</v>
      </c>
      <c r="H14" s="13">
        <v>22</v>
      </c>
      <c r="I14" s="42">
        <v>15</v>
      </c>
      <c r="J14" s="15">
        <v>46756</v>
      </c>
      <c r="N14" s="1"/>
    </row>
    <row r="15" spans="1:14" x14ac:dyDescent="0.3">
      <c r="A15" s="14">
        <v>46030</v>
      </c>
      <c r="B15" s="7" t="s">
        <v>33</v>
      </c>
      <c r="C15" s="7" t="s">
        <v>11</v>
      </c>
      <c r="D15" s="7" t="s">
        <v>34</v>
      </c>
      <c r="E15" s="55">
        <v>1.1599999999999999</v>
      </c>
      <c r="F15" s="55">
        <v>2.02</v>
      </c>
      <c r="G15" s="13">
        <v>39</v>
      </c>
      <c r="H15" s="13">
        <v>74</v>
      </c>
      <c r="I15" s="43">
        <v>35</v>
      </c>
      <c r="J15" s="15">
        <v>47103</v>
      </c>
      <c r="N15" s="1"/>
    </row>
    <row r="16" spans="1:14" x14ac:dyDescent="0.3">
      <c r="A16" s="14">
        <v>46032</v>
      </c>
      <c r="B16" s="7" t="s">
        <v>35</v>
      </c>
      <c r="C16" s="7" t="s">
        <v>36</v>
      </c>
      <c r="D16" s="7" t="s">
        <v>15</v>
      </c>
      <c r="E16" s="54">
        <v>3.23</v>
      </c>
      <c r="F16" s="54">
        <v>5.0199999999999996</v>
      </c>
      <c r="G16" s="13">
        <v>16</v>
      </c>
      <c r="H16" s="13">
        <v>32</v>
      </c>
      <c r="I16" s="42">
        <v>20</v>
      </c>
      <c r="J16" s="15">
        <v>46921</v>
      </c>
      <c r="N16" s="1"/>
    </row>
    <row r="17" spans="1:14" x14ac:dyDescent="0.3">
      <c r="A17" s="14">
        <v>46033</v>
      </c>
      <c r="B17" s="7" t="s">
        <v>29</v>
      </c>
      <c r="C17" s="7" t="s">
        <v>30</v>
      </c>
      <c r="D17" s="7" t="s">
        <v>12</v>
      </c>
      <c r="E17" s="55">
        <v>2.89</v>
      </c>
      <c r="F17" s="55">
        <v>4.4400000000000004</v>
      </c>
      <c r="G17" s="13">
        <v>12</v>
      </c>
      <c r="H17" s="13">
        <v>78</v>
      </c>
      <c r="I17" s="43">
        <v>20</v>
      </c>
      <c r="J17" s="15">
        <v>46526</v>
      </c>
      <c r="N17" s="1"/>
    </row>
    <row r="18" spans="1:14" x14ac:dyDescent="0.3">
      <c r="A18" s="14">
        <v>46033</v>
      </c>
      <c r="B18" s="7" t="s">
        <v>37</v>
      </c>
      <c r="C18" s="7" t="s">
        <v>24</v>
      </c>
      <c r="D18" s="7" t="s">
        <v>34</v>
      </c>
      <c r="E18" s="54">
        <v>2.39</v>
      </c>
      <c r="F18" s="54">
        <v>3.89</v>
      </c>
      <c r="G18" s="13">
        <v>14</v>
      </c>
      <c r="H18" s="13">
        <v>17</v>
      </c>
      <c r="I18" s="42">
        <v>35</v>
      </c>
      <c r="J18" s="15">
        <v>46990</v>
      </c>
      <c r="N18" s="1"/>
    </row>
    <row r="19" spans="1:14" x14ac:dyDescent="0.3">
      <c r="A19" s="14">
        <v>46035</v>
      </c>
      <c r="B19" s="7" t="s">
        <v>38</v>
      </c>
      <c r="C19" s="7" t="s">
        <v>28</v>
      </c>
      <c r="D19" s="7" t="s">
        <v>20</v>
      </c>
      <c r="E19" s="55">
        <v>4.24</v>
      </c>
      <c r="F19" s="55">
        <v>7.38</v>
      </c>
      <c r="G19" s="13">
        <v>16</v>
      </c>
      <c r="H19" s="13">
        <v>35</v>
      </c>
      <c r="I19" s="43">
        <v>20</v>
      </c>
      <c r="J19" s="15">
        <v>46639</v>
      </c>
      <c r="N19" s="1"/>
    </row>
    <row r="20" spans="1:14" x14ac:dyDescent="0.3">
      <c r="A20" s="14">
        <v>46035</v>
      </c>
      <c r="B20" s="7" t="s">
        <v>13</v>
      </c>
      <c r="C20" s="7" t="s">
        <v>14</v>
      </c>
      <c r="D20" s="7" t="s">
        <v>20</v>
      </c>
      <c r="E20" s="54">
        <v>1.1499999999999999</v>
      </c>
      <c r="F20" s="54">
        <v>1.95</v>
      </c>
      <c r="G20" s="13">
        <v>4</v>
      </c>
      <c r="H20" s="13">
        <v>16</v>
      </c>
      <c r="I20" s="42">
        <v>15</v>
      </c>
      <c r="J20" s="15">
        <v>46621</v>
      </c>
      <c r="N20" s="1"/>
    </row>
    <row r="21" spans="1:14" x14ac:dyDescent="0.3">
      <c r="A21" s="14">
        <v>46035</v>
      </c>
      <c r="B21" s="7" t="s">
        <v>39</v>
      </c>
      <c r="C21" s="7" t="s">
        <v>14</v>
      </c>
      <c r="D21" s="7" t="s">
        <v>34</v>
      </c>
      <c r="E21" s="55">
        <v>2.58</v>
      </c>
      <c r="F21" s="55">
        <v>4.3899999999999997</v>
      </c>
      <c r="G21" s="13">
        <v>12</v>
      </c>
      <c r="H21" s="13">
        <v>75</v>
      </c>
      <c r="I21" s="43">
        <v>35</v>
      </c>
      <c r="J21" s="15">
        <v>46428</v>
      </c>
      <c r="N21" s="1"/>
    </row>
    <row r="22" spans="1:14" x14ac:dyDescent="0.3">
      <c r="A22" s="14">
        <v>46035</v>
      </c>
      <c r="B22" s="7" t="s">
        <v>40</v>
      </c>
      <c r="C22" s="7" t="s">
        <v>41</v>
      </c>
      <c r="D22" s="7" t="s">
        <v>34</v>
      </c>
      <c r="E22" s="54">
        <v>1.81</v>
      </c>
      <c r="F22" s="54">
        <v>3.15</v>
      </c>
      <c r="G22" s="13">
        <v>7</v>
      </c>
      <c r="H22" s="13">
        <v>34</v>
      </c>
      <c r="I22" s="42">
        <v>15</v>
      </c>
      <c r="J22" s="15">
        <v>46690</v>
      </c>
      <c r="N22" s="1"/>
    </row>
    <row r="23" spans="1:14" x14ac:dyDescent="0.3">
      <c r="A23" s="14">
        <v>46035</v>
      </c>
      <c r="B23" s="7" t="s">
        <v>42</v>
      </c>
      <c r="C23" s="7" t="s">
        <v>43</v>
      </c>
      <c r="D23" s="7" t="s">
        <v>15</v>
      </c>
      <c r="E23" s="55">
        <v>1.95</v>
      </c>
      <c r="F23" s="55">
        <v>3.09</v>
      </c>
      <c r="G23" s="13">
        <v>8</v>
      </c>
      <c r="H23" s="13">
        <v>39</v>
      </c>
      <c r="I23" s="43">
        <v>35</v>
      </c>
      <c r="J23" s="15">
        <v>47003</v>
      </c>
      <c r="N23" s="1"/>
    </row>
    <row r="24" spans="1:14" x14ac:dyDescent="0.3">
      <c r="A24" s="14">
        <v>46035</v>
      </c>
      <c r="B24" s="7" t="s">
        <v>44</v>
      </c>
      <c r="C24" s="7" t="s">
        <v>36</v>
      </c>
      <c r="D24" s="7" t="s">
        <v>34</v>
      </c>
      <c r="E24" s="54">
        <v>1.48</v>
      </c>
      <c r="F24" s="54">
        <v>2.2599999999999998</v>
      </c>
      <c r="G24" s="13">
        <v>15</v>
      </c>
      <c r="H24" s="13">
        <v>74</v>
      </c>
      <c r="I24" s="42">
        <v>20</v>
      </c>
      <c r="J24" s="15">
        <v>46591</v>
      </c>
      <c r="N24" s="1"/>
    </row>
    <row r="25" spans="1:14" x14ac:dyDescent="0.3">
      <c r="A25" s="14">
        <v>46036</v>
      </c>
      <c r="B25" s="7" t="s">
        <v>25</v>
      </c>
      <c r="C25" s="7" t="s">
        <v>11</v>
      </c>
      <c r="D25" s="7" t="s">
        <v>34</v>
      </c>
      <c r="E25" s="55">
        <v>1.54</v>
      </c>
      <c r="F25" s="55">
        <v>2.5</v>
      </c>
      <c r="G25" s="13">
        <v>9</v>
      </c>
      <c r="H25" s="13">
        <v>37</v>
      </c>
      <c r="I25" s="43">
        <v>35</v>
      </c>
      <c r="J25" s="15">
        <v>46727</v>
      </c>
      <c r="N25" s="1"/>
    </row>
    <row r="26" spans="1:14" x14ac:dyDescent="0.3">
      <c r="A26" s="14">
        <v>46036</v>
      </c>
      <c r="B26" s="7" t="s">
        <v>42</v>
      </c>
      <c r="C26" s="7" t="s">
        <v>43</v>
      </c>
      <c r="D26" s="7" t="s">
        <v>26</v>
      </c>
      <c r="E26" s="54">
        <v>1.95</v>
      </c>
      <c r="F26" s="54">
        <v>3.09</v>
      </c>
      <c r="G26" s="13">
        <v>10</v>
      </c>
      <c r="H26" s="13">
        <v>59</v>
      </c>
      <c r="I26" s="42">
        <v>35</v>
      </c>
      <c r="J26" s="15">
        <v>47045</v>
      </c>
      <c r="N26" s="1"/>
    </row>
    <row r="27" spans="1:14" x14ac:dyDescent="0.3">
      <c r="A27" s="14">
        <v>46036</v>
      </c>
      <c r="B27" s="7" t="s">
        <v>45</v>
      </c>
      <c r="C27" s="7" t="s">
        <v>46</v>
      </c>
      <c r="D27" s="7" t="s">
        <v>26</v>
      </c>
      <c r="E27" s="55">
        <v>0.39</v>
      </c>
      <c r="F27" s="55">
        <v>0.67</v>
      </c>
      <c r="G27" s="13">
        <v>10</v>
      </c>
      <c r="H27" s="13">
        <v>18</v>
      </c>
      <c r="I27" s="43">
        <v>20</v>
      </c>
      <c r="J27" s="15">
        <v>46671</v>
      </c>
      <c r="N27" s="1"/>
    </row>
    <row r="28" spans="1:14" x14ac:dyDescent="0.3">
      <c r="A28" s="14">
        <v>46039</v>
      </c>
      <c r="B28" s="7" t="s">
        <v>47</v>
      </c>
      <c r="C28" s="7" t="s">
        <v>43</v>
      </c>
      <c r="D28" s="7" t="s">
        <v>26</v>
      </c>
      <c r="E28" s="54">
        <v>4.33</v>
      </c>
      <c r="F28" s="54">
        <v>7.26</v>
      </c>
      <c r="G28" s="13">
        <v>6</v>
      </c>
      <c r="H28" s="13">
        <v>22</v>
      </c>
      <c r="I28" s="42">
        <v>15</v>
      </c>
      <c r="J28" s="15">
        <v>46594</v>
      </c>
      <c r="N28" s="1"/>
    </row>
    <row r="29" spans="1:14" x14ac:dyDescent="0.3">
      <c r="A29" s="14">
        <v>46040</v>
      </c>
      <c r="B29" s="7" t="s">
        <v>48</v>
      </c>
      <c r="C29" s="7" t="s">
        <v>43</v>
      </c>
      <c r="D29" s="7" t="s">
        <v>20</v>
      </c>
      <c r="E29" s="55">
        <v>3.19</v>
      </c>
      <c r="F29" s="55">
        <v>4.88</v>
      </c>
      <c r="G29" s="13">
        <v>10</v>
      </c>
      <c r="H29" s="13">
        <v>52</v>
      </c>
      <c r="I29" s="43">
        <v>20</v>
      </c>
      <c r="J29" s="15">
        <v>46706</v>
      </c>
      <c r="N29" s="1"/>
    </row>
    <row r="30" spans="1:14" x14ac:dyDescent="0.3">
      <c r="A30" s="14">
        <v>46040</v>
      </c>
      <c r="B30" s="7" t="s">
        <v>25</v>
      </c>
      <c r="C30" s="7" t="s">
        <v>11</v>
      </c>
      <c r="D30" s="7" t="s">
        <v>49</v>
      </c>
      <c r="E30" s="54">
        <v>1.54</v>
      </c>
      <c r="F30" s="54">
        <v>2.5</v>
      </c>
      <c r="G30" s="13">
        <v>12</v>
      </c>
      <c r="H30" s="13">
        <v>39</v>
      </c>
      <c r="I30" s="42">
        <v>35</v>
      </c>
      <c r="J30" s="15">
        <v>46948</v>
      </c>
      <c r="N30" s="1"/>
    </row>
    <row r="31" spans="1:14" x14ac:dyDescent="0.3">
      <c r="A31" s="14">
        <v>46040</v>
      </c>
      <c r="B31" s="7" t="s">
        <v>50</v>
      </c>
      <c r="C31" s="7" t="s">
        <v>17</v>
      </c>
      <c r="D31" s="7" t="s">
        <v>31</v>
      </c>
      <c r="E31" s="55">
        <v>0.85</v>
      </c>
      <c r="F31" s="55">
        <v>1.1499999999999999</v>
      </c>
      <c r="G31" s="13">
        <v>23</v>
      </c>
      <c r="H31" s="13">
        <v>45</v>
      </c>
      <c r="I31" s="43">
        <v>20</v>
      </c>
      <c r="J31" s="15">
        <v>46408</v>
      </c>
      <c r="N31" s="1"/>
    </row>
    <row r="32" spans="1:14" x14ac:dyDescent="0.3">
      <c r="A32" s="14">
        <v>46041</v>
      </c>
      <c r="B32" s="7" t="s">
        <v>32</v>
      </c>
      <c r="C32" s="7" t="s">
        <v>22</v>
      </c>
      <c r="D32" s="7" t="s">
        <v>15</v>
      </c>
      <c r="E32" s="54">
        <v>2.17</v>
      </c>
      <c r="F32" s="54">
        <v>3.39</v>
      </c>
      <c r="G32" s="13">
        <v>13</v>
      </c>
      <c r="H32" s="13">
        <v>16</v>
      </c>
      <c r="I32" s="42">
        <v>15</v>
      </c>
      <c r="J32" s="15">
        <v>46927</v>
      </c>
      <c r="N32" s="1"/>
    </row>
    <row r="33" spans="1:14" x14ac:dyDescent="0.3">
      <c r="A33" s="14">
        <v>46041</v>
      </c>
      <c r="B33" s="7" t="s">
        <v>33</v>
      </c>
      <c r="C33" s="7" t="s">
        <v>11</v>
      </c>
      <c r="D33" s="7" t="s">
        <v>49</v>
      </c>
      <c r="E33" s="55">
        <v>1.1599999999999999</v>
      </c>
      <c r="F33" s="55">
        <v>2.02</v>
      </c>
      <c r="G33" s="13">
        <v>28</v>
      </c>
      <c r="H33" s="13">
        <v>24</v>
      </c>
      <c r="I33" s="43">
        <v>35</v>
      </c>
      <c r="J33" s="15">
        <v>46947</v>
      </c>
      <c r="N33" s="1"/>
    </row>
    <row r="34" spans="1:14" x14ac:dyDescent="0.3">
      <c r="A34" s="14">
        <v>46042</v>
      </c>
      <c r="B34" s="7" t="s">
        <v>23</v>
      </c>
      <c r="C34" s="7" t="s">
        <v>24</v>
      </c>
      <c r="D34" s="7" t="s">
        <v>31</v>
      </c>
      <c r="E34" s="54">
        <v>3.03</v>
      </c>
      <c r="F34" s="54">
        <v>4.37</v>
      </c>
      <c r="G34" s="13">
        <v>4</v>
      </c>
      <c r="H34" s="13">
        <v>12</v>
      </c>
      <c r="I34" s="42">
        <v>15</v>
      </c>
      <c r="J34" s="15">
        <v>46658</v>
      </c>
      <c r="N34" s="1"/>
    </row>
    <row r="35" spans="1:14" x14ac:dyDescent="0.3">
      <c r="A35" s="14">
        <v>46042</v>
      </c>
      <c r="B35" s="7" t="s">
        <v>37</v>
      </c>
      <c r="C35" s="7" t="s">
        <v>24</v>
      </c>
      <c r="D35" s="7" t="s">
        <v>31</v>
      </c>
      <c r="E35" s="55">
        <v>2.39</v>
      </c>
      <c r="F35" s="55">
        <v>3.89</v>
      </c>
      <c r="G35" s="13">
        <v>9</v>
      </c>
      <c r="H35" s="13">
        <v>6</v>
      </c>
      <c r="I35" s="43">
        <v>35</v>
      </c>
      <c r="J35" s="15">
        <v>47009</v>
      </c>
    </row>
    <row r="36" spans="1:14" x14ac:dyDescent="0.3">
      <c r="A36" s="14">
        <v>46044</v>
      </c>
      <c r="B36" s="7" t="s">
        <v>42</v>
      </c>
      <c r="C36" s="7" t="s">
        <v>43</v>
      </c>
      <c r="D36" s="7" t="s">
        <v>49</v>
      </c>
      <c r="E36" s="54">
        <v>1.95</v>
      </c>
      <c r="F36" s="54">
        <v>3.09</v>
      </c>
      <c r="G36" s="13">
        <v>8</v>
      </c>
      <c r="H36" s="13">
        <v>74</v>
      </c>
      <c r="I36" s="42">
        <v>35</v>
      </c>
      <c r="J36" s="15">
        <v>46427</v>
      </c>
    </row>
    <row r="37" spans="1:14" x14ac:dyDescent="0.3">
      <c r="A37" s="14">
        <v>46047</v>
      </c>
      <c r="B37" s="7" t="s">
        <v>37</v>
      </c>
      <c r="C37" s="7" t="s">
        <v>24</v>
      </c>
      <c r="D37" s="7" t="s">
        <v>31</v>
      </c>
      <c r="E37" s="55">
        <v>2.39</v>
      </c>
      <c r="F37" s="55">
        <v>3.89</v>
      </c>
      <c r="G37" s="13">
        <v>7</v>
      </c>
      <c r="H37" s="13">
        <v>6</v>
      </c>
      <c r="I37" s="43">
        <v>35</v>
      </c>
      <c r="J37" s="15">
        <v>46822</v>
      </c>
    </row>
    <row r="38" spans="1:14" x14ac:dyDescent="0.3">
      <c r="A38" s="14">
        <v>46047</v>
      </c>
      <c r="B38" s="7" t="s">
        <v>27</v>
      </c>
      <c r="C38" s="7" t="s">
        <v>28</v>
      </c>
      <c r="D38" s="7" t="s">
        <v>31</v>
      </c>
      <c r="E38" s="54">
        <v>3.92</v>
      </c>
      <c r="F38" s="54">
        <v>5.92</v>
      </c>
      <c r="G38" s="13">
        <v>10</v>
      </c>
      <c r="H38" s="13">
        <v>25</v>
      </c>
      <c r="I38" s="42">
        <v>15</v>
      </c>
      <c r="J38" s="15">
        <v>46670</v>
      </c>
    </row>
    <row r="39" spans="1:14" x14ac:dyDescent="0.3">
      <c r="A39" s="14">
        <v>46047</v>
      </c>
      <c r="B39" s="7" t="s">
        <v>51</v>
      </c>
      <c r="C39" s="7" t="s">
        <v>28</v>
      </c>
      <c r="D39" s="7" t="s">
        <v>15</v>
      </c>
      <c r="E39" s="55">
        <v>3.42</v>
      </c>
      <c r="F39" s="55">
        <v>5.27</v>
      </c>
      <c r="G39" s="13">
        <v>21</v>
      </c>
      <c r="H39" s="13">
        <v>92</v>
      </c>
      <c r="I39" s="43">
        <v>35</v>
      </c>
      <c r="J39" s="15">
        <v>46483</v>
      </c>
    </row>
    <row r="40" spans="1:14" x14ac:dyDescent="0.3">
      <c r="A40" s="14">
        <v>46048</v>
      </c>
      <c r="B40" s="7" t="s">
        <v>18</v>
      </c>
      <c r="C40" s="7" t="s">
        <v>19</v>
      </c>
      <c r="D40" s="7" t="s">
        <v>49</v>
      </c>
      <c r="E40" s="54">
        <v>1.57</v>
      </c>
      <c r="F40" s="54">
        <v>2.2999999999999998</v>
      </c>
      <c r="G40" s="13">
        <v>11</v>
      </c>
      <c r="H40" s="13">
        <v>39</v>
      </c>
      <c r="I40" s="42">
        <v>20</v>
      </c>
      <c r="J40" s="15">
        <v>46543</v>
      </c>
    </row>
    <row r="41" spans="1:14" x14ac:dyDescent="0.3">
      <c r="A41" s="14">
        <v>46048</v>
      </c>
      <c r="B41" s="7" t="s">
        <v>10</v>
      </c>
      <c r="C41" s="7" t="s">
        <v>11</v>
      </c>
      <c r="D41" s="7" t="s">
        <v>49</v>
      </c>
      <c r="E41" s="55">
        <v>1.85</v>
      </c>
      <c r="F41" s="55">
        <v>2.5099999999999998</v>
      </c>
      <c r="G41" s="13">
        <v>32</v>
      </c>
      <c r="H41" s="13">
        <v>109</v>
      </c>
      <c r="I41" s="43">
        <v>35</v>
      </c>
      <c r="J41" s="15">
        <v>46599</v>
      </c>
    </row>
    <row r="42" spans="1:14" x14ac:dyDescent="0.3">
      <c r="A42" s="14">
        <v>46049</v>
      </c>
      <c r="B42" s="7" t="s">
        <v>39</v>
      </c>
      <c r="C42" s="7" t="s">
        <v>14</v>
      </c>
      <c r="D42" s="7" t="s">
        <v>15</v>
      </c>
      <c r="E42" s="54">
        <v>2.58</v>
      </c>
      <c r="F42" s="54">
        <v>4.3899999999999997</v>
      </c>
      <c r="G42" s="13">
        <v>20</v>
      </c>
      <c r="H42" s="13">
        <v>51</v>
      </c>
      <c r="I42" s="42">
        <v>35</v>
      </c>
      <c r="J42" s="15">
        <v>46553</v>
      </c>
    </row>
    <row r="43" spans="1:14" x14ac:dyDescent="0.3">
      <c r="A43" s="14">
        <v>46050</v>
      </c>
      <c r="B43" s="7" t="s">
        <v>25</v>
      </c>
      <c r="C43" s="7" t="s">
        <v>11</v>
      </c>
      <c r="D43" s="7" t="s">
        <v>15</v>
      </c>
      <c r="E43" s="55">
        <v>1.54</v>
      </c>
      <c r="F43" s="55">
        <v>2.5</v>
      </c>
      <c r="G43" s="13">
        <v>9</v>
      </c>
      <c r="H43" s="13">
        <v>44</v>
      </c>
      <c r="I43" s="43">
        <v>35</v>
      </c>
      <c r="J43" s="15">
        <v>47067</v>
      </c>
    </row>
    <row r="44" spans="1:14" x14ac:dyDescent="0.3">
      <c r="A44" s="14">
        <v>46050</v>
      </c>
      <c r="B44" s="7" t="s">
        <v>32</v>
      </c>
      <c r="C44" s="7" t="s">
        <v>22</v>
      </c>
      <c r="D44" s="7" t="s">
        <v>31</v>
      </c>
      <c r="E44" s="54">
        <v>2.17</v>
      </c>
      <c r="F44" s="54">
        <v>3.39</v>
      </c>
      <c r="G44" s="13">
        <v>16</v>
      </c>
      <c r="H44" s="13">
        <v>58</v>
      </c>
      <c r="I44" s="42">
        <v>15</v>
      </c>
      <c r="J44" s="15">
        <v>46982</v>
      </c>
    </row>
    <row r="45" spans="1:14" x14ac:dyDescent="0.3">
      <c r="A45" s="14">
        <v>46050</v>
      </c>
      <c r="B45" s="7" t="s">
        <v>25</v>
      </c>
      <c r="C45" s="7" t="s">
        <v>11</v>
      </c>
      <c r="D45" s="7" t="s">
        <v>49</v>
      </c>
      <c r="E45" s="55">
        <v>1.54</v>
      </c>
      <c r="F45" s="55">
        <v>2.5</v>
      </c>
      <c r="G45" s="13">
        <v>10</v>
      </c>
      <c r="H45" s="13">
        <v>36</v>
      </c>
      <c r="I45" s="43">
        <v>35</v>
      </c>
      <c r="J45" s="15">
        <v>46803</v>
      </c>
    </row>
    <row r="46" spans="1:14" x14ac:dyDescent="0.3">
      <c r="A46" s="14">
        <v>46051</v>
      </c>
      <c r="B46" s="7" t="s">
        <v>18</v>
      </c>
      <c r="C46" s="7" t="s">
        <v>19</v>
      </c>
      <c r="D46" s="7" t="s">
        <v>34</v>
      </c>
      <c r="E46" s="54">
        <v>1.57</v>
      </c>
      <c r="F46" s="54">
        <v>2.2999999999999998</v>
      </c>
      <c r="G46" s="13">
        <v>8</v>
      </c>
      <c r="H46" s="13">
        <v>6</v>
      </c>
      <c r="I46" s="42">
        <v>20</v>
      </c>
      <c r="J46" s="15">
        <v>46739</v>
      </c>
    </row>
    <row r="47" spans="1:14" x14ac:dyDescent="0.3">
      <c r="A47" s="14">
        <v>46051</v>
      </c>
      <c r="B47" s="7" t="s">
        <v>51</v>
      </c>
      <c r="C47" s="7" t="s">
        <v>28</v>
      </c>
      <c r="D47" s="7" t="s">
        <v>26</v>
      </c>
      <c r="E47" s="55">
        <v>3.42</v>
      </c>
      <c r="F47" s="55">
        <v>5.27</v>
      </c>
      <c r="G47" s="13">
        <v>12</v>
      </c>
      <c r="H47" s="13">
        <v>56</v>
      </c>
      <c r="I47" s="43">
        <v>35</v>
      </c>
      <c r="J47" s="15">
        <v>46538</v>
      </c>
    </row>
    <row r="48" spans="1:14" x14ac:dyDescent="0.3">
      <c r="A48" s="14">
        <v>46052</v>
      </c>
      <c r="B48" s="7" t="s">
        <v>52</v>
      </c>
      <c r="C48" s="7" t="s">
        <v>14</v>
      </c>
      <c r="D48" s="7" t="s">
        <v>15</v>
      </c>
      <c r="E48" s="54">
        <v>1.89</v>
      </c>
      <c r="F48" s="54">
        <v>3.03</v>
      </c>
      <c r="G48" s="13">
        <v>34</v>
      </c>
      <c r="H48" s="13">
        <v>91</v>
      </c>
      <c r="I48" s="42">
        <v>35</v>
      </c>
      <c r="J48" s="15">
        <v>46958</v>
      </c>
    </row>
    <row r="49" spans="1:10" x14ac:dyDescent="0.3">
      <c r="A49" s="14">
        <v>46053</v>
      </c>
      <c r="B49" s="7" t="s">
        <v>27</v>
      </c>
      <c r="C49" s="7" t="s">
        <v>28</v>
      </c>
      <c r="D49" s="7" t="s">
        <v>26</v>
      </c>
      <c r="E49" s="55">
        <v>3.92</v>
      </c>
      <c r="F49" s="55">
        <v>5.92</v>
      </c>
      <c r="G49" s="13">
        <v>13</v>
      </c>
      <c r="H49" s="13">
        <v>44</v>
      </c>
      <c r="I49" s="43">
        <v>15</v>
      </c>
      <c r="J49" s="15">
        <v>46398</v>
      </c>
    </row>
    <row r="50" spans="1:10" x14ac:dyDescent="0.3">
      <c r="A50" s="14">
        <v>46053</v>
      </c>
      <c r="B50" s="7" t="s">
        <v>39</v>
      </c>
      <c r="C50" s="7" t="s">
        <v>14</v>
      </c>
      <c r="D50" s="7" t="s">
        <v>34</v>
      </c>
      <c r="E50" s="54">
        <v>2.58</v>
      </c>
      <c r="F50" s="54">
        <v>4.3899999999999997</v>
      </c>
      <c r="G50" s="13">
        <v>21</v>
      </c>
      <c r="H50" s="13">
        <v>34</v>
      </c>
      <c r="I50" s="42">
        <v>35</v>
      </c>
      <c r="J50" s="15">
        <v>46899</v>
      </c>
    </row>
    <row r="51" spans="1:10" x14ac:dyDescent="0.3">
      <c r="A51" s="14">
        <v>46054</v>
      </c>
      <c r="B51" s="7" t="s">
        <v>42</v>
      </c>
      <c r="C51" s="7" t="s">
        <v>43</v>
      </c>
      <c r="D51" s="7" t="s">
        <v>15</v>
      </c>
      <c r="E51" s="55">
        <v>1.95</v>
      </c>
      <c r="F51" s="55">
        <v>3.09</v>
      </c>
      <c r="G51" s="13">
        <v>11</v>
      </c>
      <c r="H51" s="13">
        <v>47</v>
      </c>
      <c r="I51" s="43">
        <v>35</v>
      </c>
      <c r="J51" s="15">
        <v>46672</v>
      </c>
    </row>
    <row r="52" spans="1:10" x14ac:dyDescent="0.3">
      <c r="A52" s="14">
        <v>46054</v>
      </c>
      <c r="B52" s="7" t="s">
        <v>45</v>
      </c>
      <c r="C52" s="7" t="s">
        <v>46</v>
      </c>
      <c r="D52" s="7" t="s">
        <v>12</v>
      </c>
      <c r="E52" s="54">
        <v>0.39</v>
      </c>
      <c r="F52" s="54">
        <v>0.67</v>
      </c>
      <c r="G52" s="13">
        <v>16</v>
      </c>
      <c r="H52" s="13">
        <v>10</v>
      </c>
      <c r="I52" s="42">
        <v>20</v>
      </c>
      <c r="J52" s="15">
        <v>46983</v>
      </c>
    </row>
    <row r="53" spans="1:10" x14ac:dyDescent="0.3">
      <c r="A53" s="14">
        <v>46058</v>
      </c>
      <c r="B53" s="7" t="s">
        <v>32</v>
      </c>
      <c r="C53" s="7" t="s">
        <v>22</v>
      </c>
      <c r="D53" s="7" t="s">
        <v>49</v>
      </c>
      <c r="E53" s="55">
        <v>2.17</v>
      </c>
      <c r="F53" s="55">
        <v>3.39</v>
      </c>
      <c r="G53" s="13">
        <v>11</v>
      </c>
      <c r="H53" s="13">
        <v>26</v>
      </c>
      <c r="I53" s="43">
        <v>15</v>
      </c>
      <c r="J53" s="15">
        <v>46352</v>
      </c>
    </row>
    <row r="54" spans="1:10" x14ac:dyDescent="0.3">
      <c r="A54" s="14">
        <v>46059</v>
      </c>
      <c r="B54" s="7" t="s">
        <v>33</v>
      </c>
      <c r="C54" s="7" t="s">
        <v>11</v>
      </c>
      <c r="D54" s="7" t="s">
        <v>20</v>
      </c>
      <c r="E54" s="54">
        <v>1.1599999999999999</v>
      </c>
      <c r="F54" s="54">
        <v>2.02</v>
      </c>
      <c r="G54" s="13">
        <v>39</v>
      </c>
      <c r="H54" s="13">
        <v>70</v>
      </c>
      <c r="I54" s="42">
        <v>35</v>
      </c>
      <c r="J54" s="15">
        <v>46701</v>
      </c>
    </row>
    <row r="55" spans="1:10" x14ac:dyDescent="0.3">
      <c r="A55" s="14">
        <v>46060</v>
      </c>
      <c r="B55" s="7" t="s">
        <v>32</v>
      </c>
      <c r="C55" s="7" t="s">
        <v>22</v>
      </c>
      <c r="D55" s="7" t="s">
        <v>31</v>
      </c>
      <c r="E55" s="55">
        <v>2.17</v>
      </c>
      <c r="F55" s="55">
        <v>3.39</v>
      </c>
      <c r="G55" s="13">
        <v>10</v>
      </c>
      <c r="H55" s="13">
        <v>18</v>
      </c>
      <c r="I55" s="43">
        <v>15</v>
      </c>
      <c r="J55" s="15">
        <v>46699</v>
      </c>
    </row>
    <row r="56" spans="1:10" x14ac:dyDescent="0.3">
      <c r="A56" s="14">
        <v>46060</v>
      </c>
      <c r="B56" s="7" t="s">
        <v>35</v>
      </c>
      <c r="C56" s="7" t="s">
        <v>36</v>
      </c>
      <c r="D56" s="7" t="s">
        <v>12</v>
      </c>
      <c r="E56" s="54">
        <v>3.23</v>
      </c>
      <c r="F56" s="54">
        <v>5.0199999999999996</v>
      </c>
      <c r="G56" s="13">
        <v>15</v>
      </c>
      <c r="H56" s="13">
        <v>53</v>
      </c>
      <c r="I56" s="42">
        <v>20</v>
      </c>
      <c r="J56" s="15">
        <v>46382</v>
      </c>
    </row>
    <row r="57" spans="1:10" x14ac:dyDescent="0.3">
      <c r="A57" s="14">
        <v>46060</v>
      </c>
      <c r="B57" s="7" t="s">
        <v>16</v>
      </c>
      <c r="C57" s="7" t="s">
        <v>17</v>
      </c>
      <c r="D57" s="7" t="s">
        <v>12</v>
      </c>
      <c r="E57" s="55">
        <v>0.97</v>
      </c>
      <c r="F57" s="55">
        <v>1.61</v>
      </c>
      <c r="G57" s="13">
        <v>10</v>
      </c>
      <c r="H57" s="13">
        <v>65</v>
      </c>
      <c r="I57" s="43">
        <v>20</v>
      </c>
      <c r="J57" s="15">
        <v>47023</v>
      </c>
    </row>
    <row r="58" spans="1:10" x14ac:dyDescent="0.3">
      <c r="A58" s="14">
        <v>46061</v>
      </c>
      <c r="B58" s="7" t="s">
        <v>25</v>
      </c>
      <c r="C58" s="7" t="s">
        <v>11</v>
      </c>
      <c r="D58" s="7" t="s">
        <v>34</v>
      </c>
      <c r="E58" s="54">
        <v>1.54</v>
      </c>
      <c r="F58" s="54">
        <v>2.5</v>
      </c>
      <c r="G58" s="13">
        <v>14</v>
      </c>
      <c r="H58" s="13">
        <v>16</v>
      </c>
      <c r="I58" s="42">
        <v>35</v>
      </c>
      <c r="J58" s="15">
        <v>46575</v>
      </c>
    </row>
    <row r="59" spans="1:10" x14ac:dyDescent="0.3">
      <c r="A59" s="14">
        <v>46061</v>
      </c>
      <c r="B59" s="7" t="s">
        <v>53</v>
      </c>
      <c r="C59" s="7" t="s">
        <v>30</v>
      </c>
      <c r="D59" s="7" t="s">
        <v>26</v>
      </c>
      <c r="E59" s="55">
        <v>1.04</v>
      </c>
      <c r="F59" s="55">
        <v>1.58</v>
      </c>
      <c r="G59" s="13">
        <v>27</v>
      </c>
      <c r="H59" s="13">
        <v>89</v>
      </c>
      <c r="I59" s="43">
        <v>20</v>
      </c>
      <c r="J59" s="15">
        <v>46749</v>
      </c>
    </row>
    <row r="60" spans="1:10" x14ac:dyDescent="0.3">
      <c r="A60" s="14">
        <v>46062</v>
      </c>
      <c r="B60" s="7" t="s">
        <v>23</v>
      </c>
      <c r="C60" s="7" t="s">
        <v>24</v>
      </c>
      <c r="D60" s="7" t="s">
        <v>20</v>
      </c>
      <c r="E60" s="54">
        <v>3.03</v>
      </c>
      <c r="F60" s="54">
        <v>4.37</v>
      </c>
      <c r="G60" s="13">
        <v>6</v>
      </c>
      <c r="H60" s="13">
        <v>20</v>
      </c>
      <c r="I60" s="42">
        <v>15</v>
      </c>
      <c r="J60" s="15">
        <v>46891</v>
      </c>
    </row>
    <row r="61" spans="1:10" x14ac:dyDescent="0.3">
      <c r="A61" s="14">
        <v>46062</v>
      </c>
      <c r="B61" s="7" t="s">
        <v>50</v>
      </c>
      <c r="C61" s="7" t="s">
        <v>17</v>
      </c>
      <c r="D61" s="7" t="s">
        <v>49</v>
      </c>
      <c r="E61" s="55">
        <v>0.85</v>
      </c>
      <c r="F61" s="55">
        <v>1.1499999999999999</v>
      </c>
      <c r="G61" s="13">
        <v>23</v>
      </c>
      <c r="H61" s="13">
        <v>114</v>
      </c>
      <c r="I61" s="43">
        <v>20</v>
      </c>
      <c r="J61" s="15">
        <v>46982</v>
      </c>
    </row>
    <row r="62" spans="1:10" x14ac:dyDescent="0.3">
      <c r="A62" s="14">
        <v>46062</v>
      </c>
      <c r="B62" s="7" t="s">
        <v>54</v>
      </c>
      <c r="C62" s="7" t="s">
        <v>36</v>
      </c>
      <c r="D62" s="7" t="s">
        <v>34</v>
      </c>
      <c r="E62" s="54">
        <v>1.0900000000000001</v>
      </c>
      <c r="F62" s="54">
        <v>1.77</v>
      </c>
      <c r="G62" s="13">
        <v>37</v>
      </c>
      <c r="H62" s="13">
        <v>29</v>
      </c>
      <c r="I62" s="42">
        <v>35</v>
      </c>
      <c r="J62" s="15">
        <v>46656</v>
      </c>
    </row>
    <row r="63" spans="1:10" x14ac:dyDescent="0.3">
      <c r="A63" s="14">
        <v>46064</v>
      </c>
      <c r="B63" s="7" t="s">
        <v>45</v>
      </c>
      <c r="C63" s="7" t="s">
        <v>46</v>
      </c>
      <c r="D63" s="7" t="s">
        <v>34</v>
      </c>
      <c r="E63" s="55">
        <v>0.39</v>
      </c>
      <c r="F63" s="55">
        <v>0.67</v>
      </c>
      <c r="G63" s="13">
        <v>21</v>
      </c>
      <c r="H63" s="13">
        <v>76</v>
      </c>
      <c r="I63" s="43">
        <v>20</v>
      </c>
      <c r="J63" s="15">
        <v>46704</v>
      </c>
    </row>
    <row r="64" spans="1:10" x14ac:dyDescent="0.3">
      <c r="A64" s="14">
        <v>46065</v>
      </c>
      <c r="B64" s="7" t="s">
        <v>16</v>
      </c>
      <c r="C64" s="7" t="s">
        <v>17</v>
      </c>
      <c r="D64" s="7" t="s">
        <v>34</v>
      </c>
      <c r="E64" s="54">
        <v>0.97</v>
      </c>
      <c r="F64" s="54">
        <v>1.61</v>
      </c>
      <c r="G64" s="13">
        <v>16</v>
      </c>
      <c r="H64" s="13">
        <v>52</v>
      </c>
      <c r="I64" s="42">
        <v>20</v>
      </c>
      <c r="J64" s="15">
        <v>46330</v>
      </c>
    </row>
    <row r="65" spans="1:10" x14ac:dyDescent="0.3">
      <c r="A65" s="14">
        <v>46066</v>
      </c>
      <c r="B65" s="7" t="s">
        <v>13</v>
      </c>
      <c r="C65" s="7" t="s">
        <v>14</v>
      </c>
      <c r="D65" s="7" t="s">
        <v>12</v>
      </c>
      <c r="E65" s="55">
        <v>1.1499999999999999</v>
      </c>
      <c r="F65" s="55">
        <v>1.95</v>
      </c>
      <c r="G65" s="13">
        <v>7</v>
      </c>
      <c r="H65" s="13">
        <v>14</v>
      </c>
      <c r="I65" s="43">
        <v>15</v>
      </c>
      <c r="J65" s="15">
        <v>46315</v>
      </c>
    </row>
    <row r="66" spans="1:10" x14ac:dyDescent="0.3">
      <c r="A66" s="14">
        <v>46066</v>
      </c>
      <c r="B66" s="7" t="s">
        <v>10</v>
      </c>
      <c r="C66" s="7" t="s">
        <v>11</v>
      </c>
      <c r="D66" s="7" t="s">
        <v>12</v>
      </c>
      <c r="E66" s="54">
        <v>1.85</v>
      </c>
      <c r="F66" s="54">
        <v>2.5099999999999998</v>
      </c>
      <c r="G66" s="13">
        <v>33</v>
      </c>
      <c r="H66" s="13">
        <v>40</v>
      </c>
      <c r="I66" s="42">
        <v>35</v>
      </c>
      <c r="J66" s="15">
        <v>46406</v>
      </c>
    </row>
    <row r="67" spans="1:10" x14ac:dyDescent="0.3">
      <c r="A67" s="14">
        <v>46066</v>
      </c>
      <c r="B67" s="7" t="s">
        <v>55</v>
      </c>
      <c r="C67" s="7" t="s">
        <v>41</v>
      </c>
      <c r="D67" s="7" t="s">
        <v>49</v>
      </c>
      <c r="E67" s="55">
        <v>2.25</v>
      </c>
      <c r="F67" s="55">
        <v>3.07</v>
      </c>
      <c r="G67" s="13">
        <v>8</v>
      </c>
      <c r="H67" s="13">
        <v>16</v>
      </c>
      <c r="I67" s="43">
        <v>15</v>
      </c>
      <c r="J67" s="15">
        <v>46720</v>
      </c>
    </row>
    <row r="68" spans="1:10" x14ac:dyDescent="0.3">
      <c r="A68" s="14">
        <v>46066</v>
      </c>
      <c r="B68" s="7" t="s">
        <v>56</v>
      </c>
      <c r="C68" s="7" t="s">
        <v>41</v>
      </c>
      <c r="D68" s="7" t="s">
        <v>12</v>
      </c>
      <c r="E68" s="54">
        <v>1.71</v>
      </c>
      <c r="F68" s="54">
        <v>2.74</v>
      </c>
      <c r="G68" s="13">
        <v>5</v>
      </c>
      <c r="H68" s="13">
        <v>12</v>
      </c>
      <c r="I68" s="42">
        <v>15</v>
      </c>
      <c r="J68" s="15">
        <v>46548</v>
      </c>
    </row>
    <row r="69" spans="1:10" x14ac:dyDescent="0.3">
      <c r="A69" s="14">
        <v>46067</v>
      </c>
      <c r="B69" s="7" t="s">
        <v>32</v>
      </c>
      <c r="C69" s="7" t="s">
        <v>22</v>
      </c>
      <c r="D69" s="7" t="s">
        <v>31</v>
      </c>
      <c r="E69" s="55">
        <v>2.17</v>
      </c>
      <c r="F69" s="55">
        <v>3.39</v>
      </c>
      <c r="G69" s="13">
        <v>9</v>
      </c>
      <c r="H69" s="13">
        <v>14</v>
      </c>
      <c r="I69" s="43">
        <v>15</v>
      </c>
      <c r="J69" s="15">
        <v>46456</v>
      </c>
    </row>
    <row r="70" spans="1:10" x14ac:dyDescent="0.3">
      <c r="A70" s="14">
        <v>46067</v>
      </c>
      <c r="B70" s="7" t="s">
        <v>56</v>
      </c>
      <c r="C70" s="7" t="s">
        <v>41</v>
      </c>
      <c r="D70" s="7" t="s">
        <v>20</v>
      </c>
      <c r="E70" s="54">
        <v>1.71</v>
      </c>
      <c r="F70" s="54">
        <v>2.74</v>
      </c>
      <c r="G70" s="13">
        <v>6</v>
      </c>
      <c r="H70" s="13">
        <v>9</v>
      </c>
      <c r="I70" s="42">
        <v>15</v>
      </c>
      <c r="J70" s="15">
        <v>46984</v>
      </c>
    </row>
    <row r="71" spans="1:10" x14ac:dyDescent="0.3">
      <c r="A71" s="14">
        <v>46070</v>
      </c>
      <c r="B71" s="7" t="s">
        <v>52</v>
      </c>
      <c r="C71" s="7" t="s">
        <v>14</v>
      </c>
      <c r="D71" s="7" t="s">
        <v>49</v>
      </c>
      <c r="E71" s="55">
        <v>1.89</v>
      </c>
      <c r="F71" s="55">
        <v>3.03</v>
      </c>
      <c r="G71" s="13">
        <v>13</v>
      </c>
      <c r="H71" s="13">
        <v>139</v>
      </c>
      <c r="I71" s="43">
        <v>35</v>
      </c>
      <c r="J71" s="15">
        <v>46448</v>
      </c>
    </row>
    <row r="72" spans="1:10" x14ac:dyDescent="0.3">
      <c r="A72" s="14">
        <v>46070</v>
      </c>
      <c r="B72" s="7" t="s">
        <v>29</v>
      </c>
      <c r="C72" s="7" t="s">
        <v>30</v>
      </c>
      <c r="D72" s="7" t="s">
        <v>34</v>
      </c>
      <c r="E72" s="54">
        <v>2.89</v>
      </c>
      <c r="F72" s="54">
        <v>4.4400000000000004</v>
      </c>
      <c r="G72" s="13">
        <v>19</v>
      </c>
      <c r="H72" s="13">
        <v>16</v>
      </c>
      <c r="I72" s="42">
        <v>20</v>
      </c>
      <c r="J72" s="15">
        <v>46895</v>
      </c>
    </row>
    <row r="73" spans="1:10" x14ac:dyDescent="0.3">
      <c r="A73" s="14">
        <v>46071</v>
      </c>
      <c r="B73" s="7" t="s">
        <v>33</v>
      </c>
      <c r="C73" s="7" t="s">
        <v>11</v>
      </c>
      <c r="D73" s="7" t="s">
        <v>26</v>
      </c>
      <c r="E73" s="55">
        <v>1.1599999999999999</v>
      </c>
      <c r="F73" s="55">
        <v>2.02</v>
      </c>
      <c r="G73" s="13">
        <v>17</v>
      </c>
      <c r="H73" s="13">
        <v>88</v>
      </c>
      <c r="I73" s="43">
        <v>35</v>
      </c>
      <c r="J73" s="15">
        <v>46807</v>
      </c>
    </row>
    <row r="74" spans="1:10" x14ac:dyDescent="0.3">
      <c r="A74" s="14">
        <v>46072</v>
      </c>
      <c r="B74" s="7" t="s">
        <v>42</v>
      </c>
      <c r="C74" s="7" t="s">
        <v>43</v>
      </c>
      <c r="D74" s="7" t="s">
        <v>15</v>
      </c>
      <c r="E74" s="54">
        <v>1.95</v>
      </c>
      <c r="F74" s="54">
        <v>3.09</v>
      </c>
      <c r="G74" s="13">
        <v>8</v>
      </c>
      <c r="H74" s="13">
        <v>50</v>
      </c>
      <c r="I74" s="42">
        <v>35</v>
      </c>
      <c r="J74" s="15">
        <v>46947</v>
      </c>
    </row>
    <row r="75" spans="1:10" x14ac:dyDescent="0.3">
      <c r="A75" s="14">
        <v>46072</v>
      </c>
      <c r="B75" s="7" t="s">
        <v>16</v>
      </c>
      <c r="C75" s="7" t="s">
        <v>17</v>
      </c>
      <c r="D75" s="7" t="s">
        <v>26</v>
      </c>
      <c r="E75" s="55">
        <v>0.97</v>
      </c>
      <c r="F75" s="55">
        <v>1.61</v>
      </c>
      <c r="G75" s="13">
        <v>15</v>
      </c>
      <c r="H75" s="13">
        <v>57</v>
      </c>
      <c r="I75" s="43">
        <v>20</v>
      </c>
      <c r="J75" s="15">
        <v>46995</v>
      </c>
    </row>
    <row r="76" spans="1:10" x14ac:dyDescent="0.3">
      <c r="A76" s="14">
        <v>46072</v>
      </c>
      <c r="B76" s="7" t="s">
        <v>16</v>
      </c>
      <c r="C76" s="7" t="s">
        <v>17</v>
      </c>
      <c r="D76" s="7" t="s">
        <v>31</v>
      </c>
      <c r="E76" s="54">
        <v>0.97</v>
      </c>
      <c r="F76" s="54">
        <v>1.61</v>
      </c>
      <c r="G76" s="13">
        <v>16</v>
      </c>
      <c r="H76" s="13">
        <v>41</v>
      </c>
      <c r="I76" s="42">
        <v>20</v>
      </c>
      <c r="J76" s="15">
        <v>46460</v>
      </c>
    </row>
    <row r="77" spans="1:10" x14ac:dyDescent="0.3">
      <c r="A77" s="14">
        <v>46073</v>
      </c>
      <c r="B77" s="7" t="s">
        <v>47</v>
      </c>
      <c r="C77" s="7" t="s">
        <v>43</v>
      </c>
      <c r="D77" s="7" t="s">
        <v>12</v>
      </c>
      <c r="E77" s="55">
        <v>4.33</v>
      </c>
      <c r="F77" s="55">
        <v>7.26</v>
      </c>
      <c r="G77" s="13">
        <v>11</v>
      </c>
      <c r="H77" s="13">
        <v>17</v>
      </c>
      <c r="I77" s="43">
        <v>15</v>
      </c>
      <c r="J77" s="15">
        <v>46466</v>
      </c>
    </row>
    <row r="78" spans="1:10" x14ac:dyDescent="0.3">
      <c r="A78" s="14">
        <v>46074</v>
      </c>
      <c r="B78" s="7" t="s">
        <v>33</v>
      </c>
      <c r="C78" s="7" t="s">
        <v>11</v>
      </c>
      <c r="D78" s="7" t="s">
        <v>26</v>
      </c>
      <c r="E78" s="54">
        <v>1.1599999999999999</v>
      </c>
      <c r="F78" s="54">
        <v>2.02</v>
      </c>
      <c r="G78" s="13">
        <v>46</v>
      </c>
      <c r="H78" s="13">
        <v>48</v>
      </c>
      <c r="I78" s="42">
        <v>35</v>
      </c>
      <c r="J78" s="15">
        <v>46777</v>
      </c>
    </row>
    <row r="79" spans="1:10" x14ac:dyDescent="0.3">
      <c r="A79" s="14">
        <v>46074</v>
      </c>
      <c r="B79" s="7" t="s">
        <v>27</v>
      </c>
      <c r="C79" s="7" t="s">
        <v>28</v>
      </c>
      <c r="D79" s="7" t="s">
        <v>49</v>
      </c>
      <c r="E79" s="55">
        <v>3.92</v>
      </c>
      <c r="F79" s="55">
        <v>5.92</v>
      </c>
      <c r="G79" s="13">
        <v>7</v>
      </c>
      <c r="H79" s="13">
        <v>10</v>
      </c>
      <c r="I79" s="43">
        <v>15</v>
      </c>
      <c r="J79" s="15">
        <v>47069</v>
      </c>
    </row>
    <row r="80" spans="1:10" x14ac:dyDescent="0.3">
      <c r="A80" s="14">
        <v>46075</v>
      </c>
      <c r="B80" s="7" t="s">
        <v>57</v>
      </c>
      <c r="C80" s="7" t="s">
        <v>19</v>
      </c>
      <c r="D80" s="7" t="s">
        <v>15</v>
      </c>
      <c r="E80" s="54">
        <v>1.23</v>
      </c>
      <c r="F80" s="54">
        <v>1.93</v>
      </c>
      <c r="G80" s="13">
        <v>12</v>
      </c>
      <c r="H80" s="13">
        <v>32</v>
      </c>
      <c r="I80" s="42">
        <v>15</v>
      </c>
      <c r="J80" s="15">
        <v>46934</v>
      </c>
    </row>
    <row r="81" spans="1:10" x14ac:dyDescent="0.3">
      <c r="A81" s="14">
        <v>46075</v>
      </c>
      <c r="B81" s="7" t="s">
        <v>13</v>
      </c>
      <c r="C81" s="7" t="s">
        <v>14</v>
      </c>
      <c r="D81" s="7" t="s">
        <v>26</v>
      </c>
      <c r="E81" s="55">
        <v>1.1499999999999999</v>
      </c>
      <c r="F81" s="55">
        <v>1.95</v>
      </c>
      <c r="G81" s="13">
        <v>7</v>
      </c>
      <c r="H81" s="13">
        <v>38</v>
      </c>
      <c r="I81" s="43">
        <v>15</v>
      </c>
      <c r="J81" s="15">
        <v>46896</v>
      </c>
    </row>
    <row r="82" spans="1:10" x14ac:dyDescent="0.3">
      <c r="A82" s="14">
        <v>46077</v>
      </c>
      <c r="B82" s="7" t="s">
        <v>38</v>
      </c>
      <c r="C82" s="7" t="s">
        <v>28</v>
      </c>
      <c r="D82" s="7" t="s">
        <v>26</v>
      </c>
      <c r="E82" s="54">
        <v>4.24</v>
      </c>
      <c r="F82" s="54">
        <v>7.38</v>
      </c>
      <c r="G82" s="13">
        <v>6</v>
      </c>
      <c r="H82" s="13">
        <v>52</v>
      </c>
      <c r="I82" s="42">
        <v>20</v>
      </c>
      <c r="J82" s="15">
        <v>46455</v>
      </c>
    </row>
    <row r="83" spans="1:10" x14ac:dyDescent="0.3">
      <c r="A83" s="14">
        <v>46077</v>
      </c>
      <c r="B83" s="7" t="s">
        <v>52</v>
      </c>
      <c r="C83" s="7" t="s">
        <v>14</v>
      </c>
      <c r="D83" s="7" t="s">
        <v>34</v>
      </c>
      <c r="E83" s="55">
        <v>1.89</v>
      </c>
      <c r="F83" s="55">
        <v>3.03</v>
      </c>
      <c r="G83" s="13">
        <v>22</v>
      </c>
      <c r="H83" s="13">
        <v>64</v>
      </c>
      <c r="I83" s="43">
        <v>35</v>
      </c>
      <c r="J83" s="15">
        <v>46505</v>
      </c>
    </row>
    <row r="84" spans="1:10" x14ac:dyDescent="0.3">
      <c r="A84" s="14">
        <v>46078</v>
      </c>
      <c r="B84" s="7" t="s">
        <v>29</v>
      </c>
      <c r="C84" s="7" t="s">
        <v>30</v>
      </c>
      <c r="D84" s="7" t="s">
        <v>20</v>
      </c>
      <c r="E84" s="54">
        <v>2.89</v>
      </c>
      <c r="F84" s="54">
        <v>4.4400000000000004</v>
      </c>
      <c r="G84" s="13">
        <v>16</v>
      </c>
      <c r="H84" s="13">
        <v>71</v>
      </c>
      <c r="I84" s="42">
        <v>20</v>
      </c>
      <c r="J84" s="15">
        <v>47036</v>
      </c>
    </row>
    <row r="85" spans="1:10" x14ac:dyDescent="0.3">
      <c r="A85" s="14">
        <v>46078</v>
      </c>
      <c r="B85" s="7" t="s">
        <v>54</v>
      </c>
      <c r="C85" s="7" t="s">
        <v>36</v>
      </c>
      <c r="D85" s="7" t="s">
        <v>34</v>
      </c>
      <c r="E85" s="55">
        <v>1.0900000000000001</v>
      </c>
      <c r="F85" s="55">
        <v>1.77</v>
      </c>
      <c r="G85" s="13">
        <v>27</v>
      </c>
      <c r="H85" s="13">
        <v>137</v>
      </c>
      <c r="I85" s="43">
        <v>35</v>
      </c>
      <c r="J85" s="15">
        <v>46957</v>
      </c>
    </row>
    <row r="86" spans="1:10" x14ac:dyDescent="0.3">
      <c r="A86" s="14">
        <v>46078</v>
      </c>
      <c r="B86" s="7" t="s">
        <v>51</v>
      </c>
      <c r="C86" s="7" t="s">
        <v>28</v>
      </c>
      <c r="D86" s="7" t="s">
        <v>26</v>
      </c>
      <c r="E86" s="54">
        <v>3.42</v>
      </c>
      <c r="F86" s="54">
        <v>5.27</v>
      </c>
      <c r="G86" s="13">
        <v>30</v>
      </c>
      <c r="H86" s="13">
        <v>68</v>
      </c>
      <c r="I86" s="42">
        <v>35</v>
      </c>
      <c r="J86" s="15">
        <v>46887</v>
      </c>
    </row>
    <row r="87" spans="1:10" x14ac:dyDescent="0.3">
      <c r="A87" s="14">
        <v>46078</v>
      </c>
      <c r="B87" s="7" t="s">
        <v>13</v>
      </c>
      <c r="C87" s="7" t="s">
        <v>14</v>
      </c>
      <c r="D87" s="7" t="s">
        <v>26</v>
      </c>
      <c r="E87" s="55">
        <v>1.1499999999999999</v>
      </c>
      <c r="F87" s="55">
        <v>1.95</v>
      </c>
      <c r="G87" s="13">
        <v>10</v>
      </c>
      <c r="H87" s="13">
        <v>26</v>
      </c>
      <c r="I87" s="43">
        <v>15</v>
      </c>
      <c r="J87" s="15">
        <v>46712</v>
      </c>
    </row>
    <row r="88" spans="1:10" x14ac:dyDescent="0.3">
      <c r="A88" s="14">
        <v>46080</v>
      </c>
      <c r="B88" s="7" t="s">
        <v>35</v>
      </c>
      <c r="C88" s="7" t="s">
        <v>36</v>
      </c>
      <c r="D88" s="7" t="s">
        <v>12</v>
      </c>
      <c r="E88" s="54">
        <v>3.23</v>
      </c>
      <c r="F88" s="54">
        <v>5.0199999999999996</v>
      </c>
      <c r="G88" s="13">
        <v>13</v>
      </c>
      <c r="H88" s="13">
        <v>56</v>
      </c>
      <c r="I88" s="42">
        <v>20</v>
      </c>
      <c r="J88" s="15">
        <v>46892</v>
      </c>
    </row>
    <row r="89" spans="1:10" x14ac:dyDescent="0.3">
      <c r="A89" s="14">
        <v>46080</v>
      </c>
      <c r="B89" s="7" t="s">
        <v>48</v>
      </c>
      <c r="C89" s="7" t="s">
        <v>43</v>
      </c>
      <c r="D89" s="7" t="s">
        <v>15</v>
      </c>
      <c r="E89" s="55">
        <v>3.19</v>
      </c>
      <c r="F89" s="55">
        <v>4.88</v>
      </c>
      <c r="G89" s="13">
        <v>15</v>
      </c>
      <c r="H89" s="13">
        <v>30</v>
      </c>
      <c r="I89" s="43">
        <v>20</v>
      </c>
      <c r="J89" s="15">
        <v>46516</v>
      </c>
    </row>
    <row r="90" spans="1:10" x14ac:dyDescent="0.3">
      <c r="A90" s="14">
        <v>46080</v>
      </c>
      <c r="B90" s="7" t="s">
        <v>21</v>
      </c>
      <c r="C90" s="7" t="s">
        <v>22</v>
      </c>
      <c r="D90" s="7" t="s">
        <v>20</v>
      </c>
      <c r="E90" s="54">
        <v>1.76</v>
      </c>
      <c r="F90" s="54">
        <v>2.82</v>
      </c>
      <c r="G90" s="13">
        <v>20</v>
      </c>
      <c r="H90" s="13">
        <v>81</v>
      </c>
      <c r="I90" s="42">
        <v>35</v>
      </c>
      <c r="J90" s="15">
        <v>46877</v>
      </c>
    </row>
    <row r="91" spans="1:10" x14ac:dyDescent="0.3">
      <c r="A91" s="14">
        <v>46080</v>
      </c>
      <c r="B91" s="7" t="s">
        <v>52</v>
      </c>
      <c r="C91" s="7" t="s">
        <v>14</v>
      </c>
      <c r="D91" s="7" t="s">
        <v>20</v>
      </c>
      <c r="E91" s="55">
        <v>1.89</v>
      </c>
      <c r="F91" s="55">
        <v>3.03</v>
      </c>
      <c r="G91" s="13">
        <v>14</v>
      </c>
      <c r="H91" s="13">
        <v>12</v>
      </c>
      <c r="I91" s="43">
        <v>35</v>
      </c>
      <c r="J91" s="15">
        <v>46405</v>
      </c>
    </row>
    <row r="92" spans="1:10" x14ac:dyDescent="0.3">
      <c r="A92" s="14">
        <v>46080</v>
      </c>
      <c r="B92" s="7" t="s">
        <v>35</v>
      </c>
      <c r="C92" s="7" t="s">
        <v>36</v>
      </c>
      <c r="D92" s="7" t="s">
        <v>31</v>
      </c>
      <c r="E92" s="54">
        <v>3.23</v>
      </c>
      <c r="F92" s="54">
        <v>5.0199999999999996</v>
      </c>
      <c r="G92" s="13">
        <v>13</v>
      </c>
      <c r="H92" s="13">
        <v>57</v>
      </c>
      <c r="I92" s="42">
        <v>20</v>
      </c>
      <c r="J92" s="15">
        <v>46723</v>
      </c>
    </row>
    <row r="93" spans="1:10" x14ac:dyDescent="0.3">
      <c r="A93" s="14">
        <v>46081</v>
      </c>
      <c r="B93" s="7" t="s">
        <v>37</v>
      </c>
      <c r="C93" s="7" t="s">
        <v>24</v>
      </c>
      <c r="D93" s="7" t="s">
        <v>49</v>
      </c>
      <c r="E93" s="55">
        <v>2.39</v>
      </c>
      <c r="F93" s="55">
        <v>3.89</v>
      </c>
      <c r="G93" s="13">
        <v>7</v>
      </c>
      <c r="H93" s="13">
        <v>59</v>
      </c>
      <c r="I93" s="43">
        <v>35</v>
      </c>
      <c r="J93" s="15">
        <v>46806</v>
      </c>
    </row>
    <row r="94" spans="1:10" x14ac:dyDescent="0.3">
      <c r="A94" s="14">
        <v>46081</v>
      </c>
      <c r="B94" s="7" t="s">
        <v>47</v>
      </c>
      <c r="C94" s="7" t="s">
        <v>43</v>
      </c>
      <c r="D94" s="7" t="s">
        <v>31</v>
      </c>
      <c r="E94" s="54">
        <v>4.33</v>
      </c>
      <c r="F94" s="54">
        <v>7.26</v>
      </c>
      <c r="G94" s="13">
        <v>10</v>
      </c>
      <c r="H94" s="13">
        <v>26</v>
      </c>
      <c r="I94" s="42">
        <v>15</v>
      </c>
      <c r="J94" s="15">
        <v>46328</v>
      </c>
    </row>
    <row r="95" spans="1:10" x14ac:dyDescent="0.3">
      <c r="A95" s="14">
        <v>46081</v>
      </c>
      <c r="B95" s="7" t="s">
        <v>52</v>
      </c>
      <c r="C95" s="7" t="s">
        <v>14</v>
      </c>
      <c r="D95" s="7" t="s">
        <v>49</v>
      </c>
      <c r="E95" s="55">
        <v>1.89</v>
      </c>
      <c r="F95" s="55">
        <v>3.03</v>
      </c>
      <c r="G95" s="13">
        <v>29</v>
      </c>
      <c r="H95" s="13">
        <v>37</v>
      </c>
      <c r="I95" s="43">
        <v>35</v>
      </c>
      <c r="J95" s="15">
        <v>47037</v>
      </c>
    </row>
    <row r="96" spans="1:10" x14ac:dyDescent="0.3">
      <c r="A96" s="14">
        <v>46081</v>
      </c>
      <c r="B96" s="7" t="s">
        <v>35</v>
      </c>
      <c r="C96" s="7" t="s">
        <v>36</v>
      </c>
      <c r="D96" s="7" t="s">
        <v>26</v>
      </c>
      <c r="E96" s="54">
        <v>3.23</v>
      </c>
      <c r="F96" s="54">
        <v>5.0199999999999996</v>
      </c>
      <c r="G96" s="13">
        <v>7</v>
      </c>
      <c r="H96" s="13">
        <v>50</v>
      </c>
      <c r="I96" s="42">
        <v>20</v>
      </c>
      <c r="J96" s="15">
        <v>46824</v>
      </c>
    </row>
    <row r="97" spans="1:10" x14ac:dyDescent="0.3">
      <c r="A97" s="14">
        <v>46082</v>
      </c>
      <c r="B97" s="7" t="s">
        <v>38</v>
      </c>
      <c r="C97" s="7" t="s">
        <v>28</v>
      </c>
      <c r="D97" s="7" t="s">
        <v>49</v>
      </c>
      <c r="E97" s="55">
        <v>4.24</v>
      </c>
      <c r="F97" s="55">
        <v>7.38</v>
      </c>
      <c r="G97" s="13">
        <v>11</v>
      </c>
      <c r="H97" s="13">
        <v>54</v>
      </c>
      <c r="I97" s="43">
        <v>20</v>
      </c>
      <c r="J97" s="15">
        <v>47065</v>
      </c>
    </row>
    <row r="98" spans="1:10" x14ac:dyDescent="0.3">
      <c r="A98" s="14">
        <v>46082</v>
      </c>
      <c r="B98" s="7" t="s">
        <v>48</v>
      </c>
      <c r="C98" s="7" t="s">
        <v>43</v>
      </c>
      <c r="D98" s="7" t="s">
        <v>34</v>
      </c>
      <c r="E98" s="54">
        <v>3.19</v>
      </c>
      <c r="F98" s="54">
        <v>4.88</v>
      </c>
      <c r="G98" s="13">
        <v>10</v>
      </c>
      <c r="H98" s="13">
        <v>42</v>
      </c>
      <c r="I98" s="42">
        <v>20</v>
      </c>
      <c r="J98" s="15">
        <v>46750</v>
      </c>
    </row>
    <row r="99" spans="1:10" x14ac:dyDescent="0.3">
      <c r="A99" s="14">
        <v>46083</v>
      </c>
      <c r="B99" s="7" t="s">
        <v>37</v>
      </c>
      <c r="C99" s="7" t="s">
        <v>24</v>
      </c>
      <c r="D99" s="7" t="s">
        <v>15</v>
      </c>
      <c r="E99" s="55">
        <v>2.39</v>
      </c>
      <c r="F99" s="55">
        <v>3.89</v>
      </c>
      <c r="G99" s="13">
        <v>11</v>
      </c>
      <c r="H99" s="13">
        <v>47</v>
      </c>
      <c r="I99" s="43">
        <v>35</v>
      </c>
      <c r="J99" s="15">
        <v>46868</v>
      </c>
    </row>
    <row r="100" spans="1:10" x14ac:dyDescent="0.3">
      <c r="A100" s="14">
        <v>46083</v>
      </c>
      <c r="B100" s="7" t="s">
        <v>25</v>
      </c>
      <c r="C100" s="7" t="s">
        <v>11</v>
      </c>
      <c r="D100" s="7" t="s">
        <v>34</v>
      </c>
      <c r="E100" s="54">
        <v>1.54</v>
      </c>
      <c r="F100" s="54">
        <v>2.5</v>
      </c>
      <c r="G100" s="13">
        <v>13</v>
      </c>
      <c r="H100" s="13">
        <v>12</v>
      </c>
      <c r="I100" s="42">
        <v>35</v>
      </c>
      <c r="J100" s="15">
        <v>46637</v>
      </c>
    </row>
    <row r="101" spans="1:10" x14ac:dyDescent="0.3">
      <c r="A101" s="14">
        <v>46083</v>
      </c>
      <c r="B101" s="7" t="s">
        <v>52</v>
      </c>
      <c r="C101" s="7" t="s">
        <v>14</v>
      </c>
      <c r="D101" s="7" t="s">
        <v>34</v>
      </c>
      <c r="E101" s="55">
        <v>1.89</v>
      </c>
      <c r="F101" s="55">
        <v>3.03</v>
      </c>
      <c r="G101" s="13">
        <v>35</v>
      </c>
      <c r="H101" s="13">
        <v>81</v>
      </c>
      <c r="I101" s="43">
        <v>35</v>
      </c>
      <c r="J101" s="15">
        <v>46826</v>
      </c>
    </row>
    <row r="102" spans="1:10" x14ac:dyDescent="0.3">
      <c r="A102" s="14">
        <v>46083</v>
      </c>
      <c r="B102" s="7" t="s">
        <v>57</v>
      </c>
      <c r="C102" s="7" t="s">
        <v>19</v>
      </c>
      <c r="D102" s="7" t="s">
        <v>31</v>
      </c>
      <c r="E102" s="54">
        <v>1.23</v>
      </c>
      <c r="F102" s="54">
        <v>1.93</v>
      </c>
      <c r="G102" s="13">
        <v>13</v>
      </c>
      <c r="H102" s="13">
        <v>29</v>
      </c>
      <c r="I102" s="42">
        <v>15</v>
      </c>
      <c r="J102" s="15">
        <v>46487</v>
      </c>
    </row>
    <row r="103" spans="1:10" x14ac:dyDescent="0.3">
      <c r="A103" s="14">
        <v>46085</v>
      </c>
      <c r="B103" s="7" t="s">
        <v>33</v>
      </c>
      <c r="C103" s="7" t="s">
        <v>11</v>
      </c>
      <c r="D103" s="7" t="s">
        <v>49</v>
      </c>
      <c r="E103" s="55">
        <v>1.1599999999999999</v>
      </c>
      <c r="F103" s="55">
        <v>2.02</v>
      </c>
      <c r="G103" s="13">
        <v>36</v>
      </c>
      <c r="H103" s="13">
        <v>82</v>
      </c>
      <c r="I103" s="43">
        <v>35</v>
      </c>
      <c r="J103" s="15">
        <v>46558</v>
      </c>
    </row>
    <row r="104" spans="1:10" x14ac:dyDescent="0.3">
      <c r="A104" s="14">
        <v>46085</v>
      </c>
      <c r="B104" s="7" t="s">
        <v>57</v>
      </c>
      <c r="C104" s="7" t="s">
        <v>19</v>
      </c>
      <c r="D104" s="7" t="s">
        <v>26</v>
      </c>
      <c r="E104" s="54">
        <v>1.23</v>
      </c>
      <c r="F104" s="54">
        <v>1.93</v>
      </c>
      <c r="G104" s="13">
        <v>13</v>
      </c>
      <c r="H104" s="13">
        <v>48</v>
      </c>
      <c r="I104" s="42">
        <v>15</v>
      </c>
      <c r="J104" s="15">
        <v>46779</v>
      </c>
    </row>
    <row r="105" spans="1:10" x14ac:dyDescent="0.3">
      <c r="A105" s="14">
        <v>46086</v>
      </c>
      <c r="B105" s="7" t="s">
        <v>37</v>
      </c>
      <c r="C105" s="7" t="s">
        <v>24</v>
      </c>
      <c r="D105" s="7" t="s">
        <v>34</v>
      </c>
      <c r="E105" s="55">
        <v>2.39</v>
      </c>
      <c r="F105" s="55">
        <v>3.89</v>
      </c>
      <c r="G105" s="13">
        <v>14</v>
      </c>
      <c r="H105" s="13">
        <v>52</v>
      </c>
      <c r="I105" s="43">
        <v>35</v>
      </c>
      <c r="J105" s="15">
        <v>46774</v>
      </c>
    </row>
    <row r="106" spans="1:10" x14ac:dyDescent="0.3">
      <c r="A106" s="14">
        <v>46086</v>
      </c>
      <c r="B106" s="7" t="s">
        <v>51</v>
      </c>
      <c r="C106" s="7" t="s">
        <v>28</v>
      </c>
      <c r="D106" s="7" t="s">
        <v>26</v>
      </c>
      <c r="E106" s="54">
        <v>3.42</v>
      </c>
      <c r="F106" s="54">
        <v>5.27</v>
      </c>
      <c r="G106" s="13">
        <v>16</v>
      </c>
      <c r="H106" s="13">
        <v>99</v>
      </c>
      <c r="I106" s="42">
        <v>35</v>
      </c>
      <c r="J106" s="15">
        <v>46460</v>
      </c>
    </row>
    <row r="107" spans="1:10" x14ac:dyDescent="0.3">
      <c r="A107" s="14">
        <v>46087</v>
      </c>
      <c r="B107" s="7" t="s">
        <v>57</v>
      </c>
      <c r="C107" s="7" t="s">
        <v>19</v>
      </c>
      <c r="D107" s="7" t="s">
        <v>20</v>
      </c>
      <c r="E107" s="55">
        <v>1.23</v>
      </c>
      <c r="F107" s="55">
        <v>1.93</v>
      </c>
      <c r="G107" s="13">
        <v>8</v>
      </c>
      <c r="H107" s="13">
        <v>42</v>
      </c>
      <c r="I107" s="43">
        <v>15</v>
      </c>
      <c r="J107" s="15">
        <v>47062</v>
      </c>
    </row>
    <row r="108" spans="1:10" x14ac:dyDescent="0.3">
      <c r="A108" s="14">
        <v>46087</v>
      </c>
      <c r="B108" s="7" t="s">
        <v>25</v>
      </c>
      <c r="C108" s="7" t="s">
        <v>11</v>
      </c>
      <c r="D108" s="7" t="s">
        <v>12</v>
      </c>
      <c r="E108" s="54">
        <v>1.54</v>
      </c>
      <c r="F108" s="54">
        <v>2.5</v>
      </c>
      <c r="G108" s="13">
        <v>9</v>
      </c>
      <c r="H108" s="13">
        <v>76</v>
      </c>
      <c r="I108" s="42">
        <v>35</v>
      </c>
      <c r="J108" s="15">
        <v>46594</v>
      </c>
    </row>
    <row r="109" spans="1:10" x14ac:dyDescent="0.3">
      <c r="A109" s="14">
        <v>46088</v>
      </c>
      <c r="B109" s="7" t="s">
        <v>57</v>
      </c>
      <c r="C109" s="7" t="s">
        <v>19</v>
      </c>
      <c r="D109" s="7" t="s">
        <v>15</v>
      </c>
      <c r="E109" s="55">
        <v>1.23</v>
      </c>
      <c r="F109" s="55">
        <v>1.93</v>
      </c>
      <c r="G109" s="13">
        <v>8</v>
      </c>
      <c r="H109" s="13">
        <v>25</v>
      </c>
      <c r="I109" s="43">
        <v>15</v>
      </c>
      <c r="J109" s="15">
        <v>46446</v>
      </c>
    </row>
    <row r="110" spans="1:10" x14ac:dyDescent="0.3">
      <c r="A110" s="14">
        <v>46089</v>
      </c>
      <c r="B110" s="7" t="s">
        <v>47</v>
      </c>
      <c r="C110" s="7" t="s">
        <v>43</v>
      </c>
      <c r="D110" s="7" t="s">
        <v>15</v>
      </c>
      <c r="E110" s="54">
        <v>4.33</v>
      </c>
      <c r="F110" s="54">
        <v>7.26</v>
      </c>
      <c r="G110" s="13">
        <v>8</v>
      </c>
      <c r="H110" s="13">
        <v>34</v>
      </c>
      <c r="I110" s="42">
        <v>15</v>
      </c>
      <c r="J110" s="15">
        <v>46771</v>
      </c>
    </row>
    <row r="111" spans="1:10" x14ac:dyDescent="0.3">
      <c r="A111" s="14">
        <v>46090</v>
      </c>
      <c r="B111" s="7" t="s">
        <v>51</v>
      </c>
      <c r="C111" s="7" t="s">
        <v>28</v>
      </c>
      <c r="D111" s="7" t="s">
        <v>31</v>
      </c>
      <c r="E111" s="55">
        <v>3.42</v>
      </c>
      <c r="F111" s="55">
        <v>5.27</v>
      </c>
      <c r="G111" s="13">
        <v>20</v>
      </c>
      <c r="H111" s="13">
        <v>79</v>
      </c>
      <c r="I111" s="43">
        <v>35</v>
      </c>
      <c r="J111" s="15">
        <v>46412</v>
      </c>
    </row>
    <row r="112" spans="1:10" x14ac:dyDescent="0.3">
      <c r="A112" s="14">
        <v>46090</v>
      </c>
      <c r="B112" s="7" t="s">
        <v>10</v>
      </c>
      <c r="C112" s="7" t="s">
        <v>11</v>
      </c>
      <c r="D112" s="7" t="s">
        <v>12</v>
      </c>
      <c r="E112" s="54">
        <v>1.85</v>
      </c>
      <c r="F112" s="54">
        <v>2.5099999999999998</v>
      </c>
      <c r="G112" s="13">
        <v>25</v>
      </c>
      <c r="H112" s="13">
        <v>123</v>
      </c>
      <c r="I112" s="42">
        <v>35</v>
      </c>
      <c r="J112" s="15">
        <v>46460</v>
      </c>
    </row>
    <row r="113" spans="1:10" x14ac:dyDescent="0.3">
      <c r="A113" s="14">
        <v>46092</v>
      </c>
      <c r="B113" s="7" t="s">
        <v>27</v>
      </c>
      <c r="C113" s="7" t="s">
        <v>28</v>
      </c>
      <c r="D113" s="7" t="s">
        <v>26</v>
      </c>
      <c r="E113" s="55">
        <v>3.92</v>
      </c>
      <c r="F113" s="55">
        <v>5.92</v>
      </c>
      <c r="G113" s="13">
        <v>10</v>
      </c>
      <c r="H113" s="13">
        <v>49</v>
      </c>
      <c r="I113" s="43">
        <v>15</v>
      </c>
      <c r="J113" s="15">
        <v>46801</v>
      </c>
    </row>
    <row r="114" spans="1:10" x14ac:dyDescent="0.3">
      <c r="A114" s="14">
        <v>46093</v>
      </c>
      <c r="B114" s="7" t="s">
        <v>58</v>
      </c>
      <c r="C114" s="7" t="s">
        <v>30</v>
      </c>
      <c r="D114" s="7" t="s">
        <v>49</v>
      </c>
      <c r="E114" s="54">
        <v>1.87</v>
      </c>
      <c r="F114" s="54">
        <v>3.11</v>
      </c>
      <c r="G114" s="13">
        <v>12</v>
      </c>
      <c r="H114" s="13">
        <v>37</v>
      </c>
      <c r="I114" s="42">
        <v>15</v>
      </c>
      <c r="J114" s="15">
        <v>46881</v>
      </c>
    </row>
    <row r="115" spans="1:10" x14ac:dyDescent="0.3">
      <c r="A115" s="14">
        <v>46094</v>
      </c>
      <c r="B115" s="7" t="s">
        <v>42</v>
      </c>
      <c r="C115" s="7" t="s">
        <v>43</v>
      </c>
      <c r="D115" s="7" t="s">
        <v>15</v>
      </c>
      <c r="E115" s="55">
        <v>1.95</v>
      </c>
      <c r="F115" s="55">
        <v>3.09</v>
      </c>
      <c r="G115" s="13">
        <v>19</v>
      </c>
      <c r="H115" s="13">
        <v>14</v>
      </c>
      <c r="I115" s="43">
        <v>35</v>
      </c>
      <c r="J115" s="15">
        <v>46480</v>
      </c>
    </row>
    <row r="116" spans="1:10" x14ac:dyDescent="0.3">
      <c r="A116" s="14">
        <v>46094</v>
      </c>
      <c r="B116" s="7" t="s">
        <v>37</v>
      </c>
      <c r="C116" s="7" t="s">
        <v>24</v>
      </c>
      <c r="D116" s="7" t="s">
        <v>15</v>
      </c>
      <c r="E116" s="54">
        <v>2.39</v>
      </c>
      <c r="F116" s="54">
        <v>3.89</v>
      </c>
      <c r="G116" s="13">
        <v>14</v>
      </c>
      <c r="H116" s="13">
        <v>26</v>
      </c>
      <c r="I116" s="42">
        <v>35</v>
      </c>
      <c r="J116" s="15">
        <v>46858</v>
      </c>
    </row>
    <row r="117" spans="1:10" x14ac:dyDescent="0.3">
      <c r="A117" s="14">
        <v>46094</v>
      </c>
      <c r="B117" s="7" t="s">
        <v>13</v>
      </c>
      <c r="C117" s="7" t="s">
        <v>14</v>
      </c>
      <c r="D117" s="7" t="s">
        <v>31</v>
      </c>
      <c r="E117" s="55">
        <v>1.1499999999999999</v>
      </c>
      <c r="F117" s="55">
        <v>1.95</v>
      </c>
      <c r="G117" s="13">
        <v>10</v>
      </c>
      <c r="H117" s="13">
        <v>38</v>
      </c>
      <c r="I117" s="43">
        <v>15</v>
      </c>
      <c r="J117" s="15">
        <v>47081</v>
      </c>
    </row>
    <row r="118" spans="1:10" x14ac:dyDescent="0.3">
      <c r="A118" s="14">
        <v>46094</v>
      </c>
      <c r="B118" s="7" t="s">
        <v>50</v>
      </c>
      <c r="C118" s="7" t="s">
        <v>17</v>
      </c>
      <c r="D118" s="7" t="s">
        <v>34</v>
      </c>
      <c r="E118" s="54">
        <v>0.85</v>
      </c>
      <c r="F118" s="54">
        <v>1.1499999999999999</v>
      </c>
      <c r="G118" s="13">
        <v>17</v>
      </c>
      <c r="H118" s="13">
        <v>120</v>
      </c>
      <c r="I118" s="42">
        <v>20</v>
      </c>
      <c r="J118" s="15">
        <v>46756</v>
      </c>
    </row>
    <row r="119" spans="1:10" x14ac:dyDescent="0.3">
      <c r="A119" s="14">
        <v>46094</v>
      </c>
      <c r="B119" s="7" t="s">
        <v>23</v>
      </c>
      <c r="C119" s="7" t="s">
        <v>24</v>
      </c>
      <c r="D119" s="7" t="s">
        <v>15</v>
      </c>
      <c r="E119" s="55">
        <v>3.03</v>
      </c>
      <c r="F119" s="55">
        <v>4.37</v>
      </c>
      <c r="G119" s="13">
        <v>6</v>
      </c>
      <c r="H119" s="13">
        <v>15</v>
      </c>
      <c r="I119" s="43">
        <v>15</v>
      </c>
      <c r="J119" s="15">
        <v>46701</v>
      </c>
    </row>
    <row r="120" spans="1:10" x14ac:dyDescent="0.3">
      <c r="A120" s="14">
        <v>46095</v>
      </c>
      <c r="B120" s="7" t="s">
        <v>50</v>
      </c>
      <c r="C120" s="7" t="s">
        <v>17</v>
      </c>
      <c r="D120" s="7" t="s">
        <v>26</v>
      </c>
      <c r="E120" s="54">
        <v>0.85</v>
      </c>
      <c r="F120" s="54">
        <v>1.1499999999999999</v>
      </c>
      <c r="G120" s="13">
        <v>20</v>
      </c>
      <c r="H120" s="13">
        <v>62</v>
      </c>
      <c r="I120" s="42">
        <v>20</v>
      </c>
      <c r="J120" s="15">
        <v>46718</v>
      </c>
    </row>
    <row r="121" spans="1:10" x14ac:dyDescent="0.3">
      <c r="A121" s="14">
        <v>46095</v>
      </c>
      <c r="B121" s="7" t="s">
        <v>56</v>
      </c>
      <c r="C121" s="7" t="s">
        <v>41</v>
      </c>
      <c r="D121" s="7" t="s">
        <v>15</v>
      </c>
      <c r="E121" s="55">
        <v>1.71</v>
      </c>
      <c r="F121" s="55">
        <v>2.74</v>
      </c>
      <c r="G121" s="13">
        <v>3</v>
      </c>
      <c r="H121" s="13">
        <v>5</v>
      </c>
      <c r="I121" s="43">
        <v>15</v>
      </c>
      <c r="J121" s="15">
        <v>47035</v>
      </c>
    </row>
    <row r="122" spans="1:10" x14ac:dyDescent="0.3">
      <c r="A122" s="14">
        <v>46095</v>
      </c>
      <c r="B122" s="7" t="s">
        <v>18</v>
      </c>
      <c r="C122" s="7" t="s">
        <v>19</v>
      </c>
      <c r="D122" s="7" t="s">
        <v>12</v>
      </c>
      <c r="E122" s="54">
        <v>1.57</v>
      </c>
      <c r="F122" s="54">
        <v>2.2999999999999998</v>
      </c>
      <c r="G122" s="13">
        <v>10</v>
      </c>
      <c r="H122" s="13">
        <v>39</v>
      </c>
      <c r="I122" s="42">
        <v>20</v>
      </c>
      <c r="J122" s="15">
        <v>46872</v>
      </c>
    </row>
    <row r="123" spans="1:10" x14ac:dyDescent="0.3">
      <c r="A123" s="14">
        <v>46096</v>
      </c>
      <c r="B123" s="7" t="s">
        <v>40</v>
      </c>
      <c r="C123" s="7" t="s">
        <v>41</v>
      </c>
      <c r="D123" s="7" t="s">
        <v>26</v>
      </c>
      <c r="E123" s="55">
        <v>1.81</v>
      </c>
      <c r="F123" s="55">
        <v>3.15</v>
      </c>
      <c r="G123" s="13">
        <v>8</v>
      </c>
      <c r="H123" s="13">
        <v>41</v>
      </c>
      <c r="I123" s="43">
        <v>15</v>
      </c>
      <c r="J123" s="15">
        <v>46830</v>
      </c>
    </row>
    <row r="124" spans="1:10" x14ac:dyDescent="0.3">
      <c r="A124" s="14">
        <v>46097</v>
      </c>
      <c r="B124" s="7" t="s">
        <v>18</v>
      </c>
      <c r="C124" s="7" t="s">
        <v>19</v>
      </c>
      <c r="D124" s="7" t="s">
        <v>49</v>
      </c>
      <c r="E124" s="54">
        <v>1.57</v>
      </c>
      <c r="F124" s="54">
        <v>2.2999999999999998</v>
      </c>
      <c r="G124" s="13">
        <v>11</v>
      </c>
      <c r="H124" s="13">
        <v>59</v>
      </c>
      <c r="I124" s="42">
        <v>20</v>
      </c>
      <c r="J124" s="15">
        <v>46551</v>
      </c>
    </row>
    <row r="125" spans="1:10" x14ac:dyDescent="0.3">
      <c r="A125" s="14">
        <v>46097</v>
      </c>
      <c r="B125" s="7" t="s">
        <v>42</v>
      </c>
      <c r="C125" s="7" t="s">
        <v>43</v>
      </c>
      <c r="D125" s="7" t="s">
        <v>34</v>
      </c>
      <c r="E125" s="55">
        <v>1.95</v>
      </c>
      <c r="F125" s="55">
        <v>3.09</v>
      </c>
      <c r="G125" s="13">
        <v>14</v>
      </c>
      <c r="H125" s="13">
        <v>63</v>
      </c>
      <c r="I125" s="43">
        <v>35</v>
      </c>
      <c r="J125" s="15">
        <v>46880</v>
      </c>
    </row>
    <row r="126" spans="1:10" x14ac:dyDescent="0.3">
      <c r="A126" s="14">
        <v>46098</v>
      </c>
      <c r="B126" s="7" t="s">
        <v>45</v>
      </c>
      <c r="C126" s="7" t="s">
        <v>46</v>
      </c>
      <c r="D126" s="7" t="s">
        <v>15</v>
      </c>
      <c r="E126" s="54">
        <v>0.39</v>
      </c>
      <c r="F126" s="54">
        <v>0.67</v>
      </c>
      <c r="G126" s="13">
        <v>19</v>
      </c>
      <c r="H126" s="13">
        <v>12</v>
      </c>
      <c r="I126" s="42">
        <v>20</v>
      </c>
      <c r="J126" s="15">
        <v>47040</v>
      </c>
    </row>
    <row r="127" spans="1:10" x14ac:dyDescent="0.3">
      <c r="A127" s="14">
        <v>46098</v>
      </c>
      <c r="B127" s="7" t="s">
        <v>58</v>
      </c>
      <c r="C127" s="7" t="s">
        <v>30</v>
      </c>
      <c r="D127" s="7" t="s">
        <v>15</v>
      </c>
      <c r="E127" s="55">
        <v>1.87</v>
      </c>
      <c r="F127" s="55">
        <v>3.11</v>
      </c>
      <c r="G127" s="13">
        <v>18</v>
      </c>
      <c r="H127" s="13">
        <v>89</v>
      </c>
      <c r="I127" s="43">
        <v>15</v>
      </c>
      <c r="J127" s="15">
        <v>46832</v>
      </c>
    </row>
    <row r="128" spans="1:10" x14ac:dyDescent="0.3">
      <c r="A128" s="14">
        <v>46098</v>
      </c>
      <c r="B128" s="7" t="s">
        <v>32</v>
      </c>
      <c r="C128" s="7" t="s">
        <v>22</v>
      </c>
      <c r="D128" s="7" t="s">
        <v>12</v>
      </c>
      <c r="E128" s="54">
        <v>2.17</v>
      </c>
      <c r="F128" s="54">
        <v>3.39</v>
      </c>
      <c r="G128" s="13">
        <v>11</v>
      </c>
      <c r="H128" s="13">
        <v>54</v>
      </c>
      <c r="I128" s="42">
        <v>15</v>
      </c>
      <c r="J128" s="15">
        <v>46444</v>
      </c>
    </row>
    <row r="129" spans="1:10" x14ac:dyDescent="0.3">
      <c r="A129" s="14">
        <v>46099</v>
      </c>
      <c r="B129" s="7" t="s">
        <v>38</v>
      </c>
      <c r="C129" s="7" t="s">
        <v>28</v>
      </c>
      <c r="D129" s="7" t="s">
        <v>12</v>
      </c>
      <c r="E129" s="55">
        <v>4.24</v>
      </c>
      <c r="F129" s="55">
        <v>7.38</v>
      </c>
      <c r="G129" s="13">
        <v>7</v>
      </c>
      <c r="H129" s="13">
        <v>11</v>
      </c>
      <c r="I129" s="43">
        <v>20</v>
      </c>
      <c r="J129" s="15">
        <v>46954</v>
      </c>
    </row>
    <row r="130" spans="1:10" x14ac:dyDescent="0.3">
      <c r="A130" s="14">
        <v>46100</v>
      </c>
      <c r="B130" s="7" t="s">
        <v>48</v>
      </c>
      <c r="C130" s="7" t="s">
        <v>43</v>
      </c>
      <c r="D130" s="7" t="s">
        <v>12</v>
      </c>
      <c r="E130" s="54">
        <v>3.19</v>
      </c>
      <c r="F130" s="54">
        <v>4.88</v>
      </c>
      <c r="G130" s="13">
        <v>6</v>
      </c>
      <c r="H130" s="13">
        <v>59</v>
      </c>
      <c r="I130" s="42">
        <v>20</v>
      </c>
      <c r="J130" s="15">
        <v>46565</v>
      </c>
    </row>
    <row r="131" spans="1:10" x14ac:dyDescent="0.3">
      <c r="A131" s="14">
        <v>46104</v>
      </c>
      <c r="B131" s="7" t="s">
        <v>16</v>
      </c>
      <c r="C131" s="7" t="s">
        <v>17</v>
      </c>
      <c r="D131" s="7" t="s">
        <v>34</v>
      </c>
      <c r="E131" s="55">
        <v>0.97</v>
      </c>
      <c r="F131" s="55">
        <v>1.61</v>
      </c>
      <c r="G131" s="13">
        <v>13</v>
      </c>
      <c r="H131" s="13">
        <v>68</v>
      </c>
      <c r="I131" s="43">
        <v>20</v>
      </c>
      <c r="J131" s="15">
        <v>46321</v>
      </c>
    </row>
    <row r="132" spans="1:10" x14ac:dyDescent="0.3">
      <c r="A132" s="14">
        <v>46105</v>
      </c>
      <c r="B132" s="7" t="s">
        <v>44</v>
      </c>
      <c r="C132" s="7" t="s">
        <v>36</v>
      </c>
      <c r="D132" s="7" t="s">
        <v>20</v>
      </c>
      <c r="E132" s="54">
        <v>1.48</v>
      </c>
      <c r="F132" s="54">
        <v>2.2599999999999998</v>
      </c>
      <c r="G132" s="13">
        <v>11</v>
      </c>
      <c r="H132" s="13">
        <v>34</v>
      </c>
      <c r="I132" s="42">
        <v>20</v>
      </c>
      <c r="J132" s="15">
        <v>46350</v>
      </c>
    </row>
    <row r="133" spans="1:10" x14ac:dyDescent="0.3">
      <c r="A133" s="14">
        <v>46106</v>
      </c>
      <c r="B133" s="7" t="s">
        <v>52</v>
      </c>
      <c r="C133" s="7" t="s">
        <v>14</v>
      </c>
      <c r="D133" s="7" t="s">
        <v>34</v>
      </c>
      <c r="E133" s="55">
        <v>1.89</v>
      </c>
      <c r="F133" s="55">
        <v>3.03</v>
      </c>
      <c r="G133" s="13">
        <v>33</v>
      </c>
      <c r="H133" s="13">
        <v>50</v>
      </c>
      <c r="I133" s="43">
        <v>35</v>
      </c>
      <c r="J133" s="15">
        <v>46682</v>
      </c>
    </row>
    <row r="134" spans="1:10" x14ac:dyDescent="0.3">
      <c r="A134" s="14">
        <v>46106</v>
      </c>
      <c r="B134" s="7" t="s">
        <v>55</v>
      </c>
      <c r="C134" s="7" t="s">
        <v>41</v>
      </c>
      <c r="D134" s="7" t="s">
        <v>12</v>
      </c>
      <c r="E134" s="54">
        <v>2.25</v>
      </c>
      <c r="F134" s="54">
        <v>3.07</v>
      </c>
      <c r="G134" s="13">
        <v>6</v>
      </c>
      <c r="H134" s="13">
        <v>12</v>
      </c>
      <c r="I134" s="42">
        <v>15</v>
      </c>
      <c r="J134" s="15">
        <v>46634</v>
      </c>
    </row>
    <row r="135" spans="1:10" x14ac:dyDescent="0.3">
      <c r="A135" s="14">
        <v>46108</v>
      </c>
      <c r="B135" s="7" t="s">
        <v>40</v>
      </c>
      <c r="C135" s="7" t="s">
        <v>41</v>
      </c>
      <c r="D135" s="7" t="s">
        <v>15</v>
      </c>
      <c r="E135" s="55">
        <v>1.81</v>
      </c>
      <c r="F135" s="55">
        <v>3.15</v>
      </c>
      <c r="G135" s="13">
        <v>8</v>
      </c>
      <c r="H135" s="13">
        <v>8</v>
      </c>
      <c r="I135" s="43">
        <v>15</v>
      </c>
      <c r="J135" s="15">
        <v>46722</v>
      </c>
    </row>
    <row r="136" spans="1:10" x14ac:dyDescent="0.3">
      <c r="A136" s="14">
        <v>46108</v>
      </c>
      <c r="B136" s="7" t="s">
        <v>13</v>
      </c>
      <c r="C136" s="7" t="s">
        <v>14</v>
      </c>
      <c r="D136" s="7" t="s">
        <v>15</v>
      </c>
      <c r="E136" s="54">
        <v>1.1499999999999999</v>
      </c>
      <c r="F136" s="54">
        <v>1.95</v>
      </c>
      <c r="G136" s="13">
        <v>7</v>
      </c>
      <c r="H136" s="13">
        <v>32</v>
      </c>
      <c r="I136" s="42">
        <v>15</v>
      </c>
      <c r="J136" s="15">
        <v>46407</v>
      </c>
    </row>
    <row r="137" spans="1:10" x14ac:dyDescent="0.3">
      <c r="A137" s="14">
        <v>46109</v>
      </c>
      <c r="B137" s="7" t="s">
        <v>54</v>
      </c>
      <c r="C137" s="7" t="s">
        <v>36</v>
      </c>
      <c r="D137" s="7" t="s">
        <v>20</v>
      </c>
      <c r="E137" s="55">
        <v>1.0900000000000001</v>
      </c>
      <c r="F137" s="55">
        <v>1.77</v>
      </c>
      <c r="G137" s="13">
        <v>30</v>
      </c>
      <c r="H137" s="13">
        <v>17</v>
      </c>
      <c r="I137" s="43">
        <v>35</v>
      </c>
      <c r="J137" s="15">
        <v>47022</v>
      </c>
    </row>
    <row r="138" spans="1:10" x14ac:dyDescent="0.3">
      <c r="A138" s="14">
        <v>46110</v>
      </c>
      <c r="B138" s="7" t="s">
        <v>16</v>
      </c>
      <c r="C138" s="7" t="s">
        <v>17</v>
      </c>
      <c r="D138" s="7" t="s">
        <v>34</v>
      </c>
      <c r="E138" s="54">
        <v>0.97</v>
      </c>
      <c r="F138" s="54">
        <v>1.61</v>
      </c>
      <c r="G138" s="13">
        <v>14</v>
      </c>
      <c r="H138" s="13">
        <v>16</v>
      </c>
      <c r="I138" s="42">
        <v>20</v>
      </c>
      <c r="J138" s="15">
        <v>46701</v>
      </c>
    </row>
    <row r="139" spans="1:10" x14ac:dyDescent="0.3">
      <c r="A139" s="14">
        <v>46111</v>
      </c>
      <c r="B139" s="7" t="s">
        <v>13</v>
      </c>
      <c r="C139" s="7" t="s">
        <v>14</v>
      </c>
      <c r="D139" s="7" t="s">
        <v>20</v>
      </c>
      <c r="E139" s="55">
        <v>1.1499999999999999</v>
      </c>
      <c r="F139" s="55">
        <v>1.95</v>
      </c>
      <c r="G139" s="13">
        <v>8</v>
      </c>
      <c r="H139" s="13">
        <v>31</v>
      </c>
      <c r="I139" s="43">
        <v>15</v>
      </c>
      <c r="J139" s="15">
        <v>46396</v>
      </c>
    </row>
    <row r="140" spans="1:10" x14ac:dyDescent="0.3">
      <c r="A140" s="14">
        <v>46111</v>
      </c>
      <c r="B140" s="7" t="s">
        <v>38</v>
      </c>
      <c r="C140" s="7" t="s">
        <v>28</v>
      </c>
      <c r="D140" s="7" t="s">
        <v>20</v>
      </c>
      <c r="E140" s="54">
        <v>4.24</v>
      </c>
      <c r="F140" s="54">
        <v>7.38</v>
      </c>
      <c r="G140" s="13">
        <v>13</v>
      </c>
      <c r="H140" s="13">
        <v>5</v>
      </c>
      <c r="I140" s="42">
        <v>20</v>
      </c>
      <c r="J140" s="15">
        <v>47032</v>
      </c>
    </row>
    <row r="141" spans="1:10" x14ac:dyDescent="0.3">
      <c r="A141" s="14">
        <v>46112</v>
      </c>
      <c r="B141" s="7" t="s">
        <v>54</v>
      </c>
      <c r="C141" s="7" t="s">
        <v>36</v>
      </c>
      <c r="D141" s="7" t="s">
        <v>34</v>
      </c>
      <c r="E141" s="55">
        <v>1.0900000000000001</v>
      </c>
      <c r="F141" s="55">
        <v>1.77</v>
      </c>
      <c r="G141" s="13">
        <v>34</v>
      </c>
      <c r="H141" s="13">
        <v>83</v>
      </c>
      <c r="I141" s="43">
        <v>35</v>
      </c>
      <c r="J141" s="15">
        <v>46723</v>
      </c>
    </row>
    <row r="142" spans="1:10" x14ac:dyDescent="0.3">
      <c r="A142" s="14">
        <v>46112</v>
      </c>
      <c r="B142" s="7" t="s">
        <v>33</v>
      </c>
      <c r="C142" s="7" t="s">
        <v>11</v>
      </c>
      <c r="D142" s="7" t="s">
        <v>26</v>
      </c>
      <c r="E142" s="54">
        <v>1.1599999999999999</v>
      </c>
      <c r="F142" s="54">
        <v>2.02</v>
      </c>
      <c r="G142" s="13">
        <v>34</v>
      </c>
      <c r="H142" s="13">
        <v>46</v>
      </c>
      <c r="I142" s="42">
        <v>35</v>
      </c>
      <c r="J142" s="15">
        <v>46652</v>
      </c>
    </row>
    <row r="143" spans="1:10" x14ac:dyDescent="0.3">
      <c r="A143" s="14">
        <v>46112</v>
      </c>
      <c r="B143" s="7" t="s">
        <v>51</v>
      </c>
      <c r="C143" s="7" t="s">
        <v>28</v>
      </c>
      <c r="D143" s="7" t="s">
        <v>15</v>
      </c>
      <c r="E143" s="55">
        <v>3.42</v>
      </c>
      <c r="F143" s="55">
        <v>5.27</v>
      </c>
      <c r="G143" s="13">
        <v>15</v>
      </c>
      <c r="H143" s="13">
        <v>99</v>
      </c>
      <c r="I143" s="43">
        <v>35</v>
      </c>
      <c r="J143" s="15">
        <v>46430</v>
      </c>
    </row>
    <row r="144" spans="1:10" x14ac:dyDescent="0.3">
      <c r="A144" s="14">
        <v>46113</v>
      </c>
      <c r="B144" s="7" t="s">
        <v>18</v>
      </c>
      <c r="C144" s="7" t="s">
        <v>19</v>
      </c>
      <c r="D144" s="7" t="s">
        <v>20</v>
      </c>
      <c r="E144" s="54">
        <v>1.57</v>
      </c>
      <c r="F144" s="54">
        <v>2.2999999999999998</v>
      </c>
      <c r="G144" s="13">
        <v>14</v>
      </c>
      <c r="H144" s="13">
        <v>41</v>
      </c>
      <c r="I144" s="42">
        <v>20</v>
      </c>
      <c r="J144" s="15">
        <v>46541</v>
      </c>
    </row>
    <row r="145" spans="1:10" x14ac:dyDescent="0.3">
      <c r="A145" s="14">
        <v>46113</v>
      </c>
      <c r="B145" s="7" t="s">
        <v>42</v>
      </c>
      <c r="C145" s="7" t="s">
        <v>43</v>
      </c>
      <c r="D145" s="7" t="s">
        <v>12</v>
      </c>
      <c r="E145" s="55">
        <v>1.95</v>
      </c>
      <c r="F145" s="55">
        <v>3.09</v>
      </c>
      <c r="G145" s="13">
        <v>18</v>
      </c>
      <c r="H145" s="13">
        <v>33</v>
      </c>
      <c r="I145" s="43">
        <v>35</v>
      </c>
      <c r="J145" s="15">
        <v>46643</v>
      </c>
    </row>
    <row r="146" spans="1:10" x14ac:dyDescent="0.3">
      <c r="A146" s="14">
        <v>46115</v>
      </c>
      <c r="B146" s="7" t="s">
        <v>53</v>
      </c>
      <c r="C146" s="7" t="s">
        <v>30</v>
      </c>
      <c r="D146" s="7" t="s">
        <v>49</v>
      </c>
      <c r="E146" s="54">
        <v>1.04</v>
      </c>
      <c r="F146" s="54">
        <v>1.58</v>
      </c>
      <c r="G146" s="13">
        <v>12</v>
      </c>
      <c r="H146" s="13">
        <v>32</v>
      </c>
      <c r="I146" s="42">
        <v>20</v>
      </c>
      <c r="J146" s="15">
        <v>46832</v>
      </c>
    </row>
    <row r="147" spans="1:10" x14ac:dyDescent="0.3">
      <c r="A147" s="14">
        <v>46115</v>
      </c>
      <c r="B147" s="7" t="s">
        <v>18</v>
      </c>
      <c r="C147" s="7" t="s">
        <v>19</v>
      </c>
      <c r="D147" s="7" t="s">
        <v>12</v>
      </c>
      <c r="E147" s="55">
        <v>1.57</v>
      </c>
      <c r="F147" s="55">
        <v>2.2999999999999998</v>
      </c>
      <c r="G147" s="13">
        <v>6</v>
      </c>
      <c r="H147" s="13">
        <v>33</v>
      </c>
      <c r="I147" s="43">
        <v>20</v>
      </c>
      <c r="J147" s="15">
        <v>46757</v>
      </c>
    </row>
    <row r="148" spans="1:10" x14ac:dyDescent="0.3">
      <c r="A148" s="14">
        <v>46116</v>
      </c>
      <c r="B148" s="7" t="s">
        <v>44</v>
      </c>
      <c r="C148" s="7" t="s">
        <v>36</v>
      </c>
      <c r="D148" s="7" t="s">
        <v>34</v>
      </c>
      <c r="E148" s="54">
        <v>1.48</v>
      </c>
      <c r="F148" s="54">
        <v>2.2599999999999998</v>
      </c>
      <c r="G148" s="13">
        <v>15</v>
      </c>
      <c r="H148" s="13">
        <v>14</v>
      </c>
      <c r="I148" s="42">
        <v>20</v>
      </c>
      <c r="J148" s="15">
        <v>46764</v>
      </c>
    </row>
    <row r="149" spans="1:10" x14ac:dyDescent="0.3">
      <c r="A149" s="14">
        <v>46116</v>
      </c>
      <c r="B149" s="7" t="s">
        <v>55</v>
      </c>
      <c r="C149" s="7" t="s">
        <v>41</v>
      </c>
      <c r="D149" s="7" t="s">
        <v>26</v>
      </c>
      <c r="E149" s="55">
        <v>2.25</v>
      </c>
      <c r="F149" s="55">
        <v>3.07</v>
      </c>
      <c r="G149" s="13">
        <v>5</v>
      </c>
      <c r="H149" s="13">
        <v>16</v>
      </c>
      <c r="I149" s="43">
        <v>15</v>
      </c>
      <c r="J149" s="15">
        <v>46788</v>
      </c>
    </row>
    <row r="150" spans="1:10" x14ac:dyDescent="0.3">
      <c r="A150" s="14">
        <v>46116</v>
      </c>
      <c r="B150" s="7" t="s">
        <v>42</v>
      </c>
      <c r="C150" s="7" t="s">
        <v>43</v>
      </c>
      <c r="D150" s="7" t="s">
        <v>26</v>
      </c>
      <c r="E150" s="54">
        <v>1.95</v>
      </c>
      <c r="F150" s="54">
        <v>3.09</v>
      </c>
      <c r="G150" s="13">
        <v>7</v>
      </c>
      <c r="H150" s="13">
        <v>54</v>
      </c>
      <c r="I150" s="42">
        <v>35</v>
      </c>
      <c r="J150" s="15">
        <v>47066</v>
      </c>
    </row>
    <row r="151" spans="1:10" x14ac:dyDescent="0.3">
      <c r="A151" s="14">
        <v>46116</v>
      </c>
      <c r="B151" s="7" t="s">
        <v>35</v>
      </c>
      <c r="C151" s="7" t="s">
        <v>36</v>
      </c>
      <c r="D151" s="7" t="s">
        <v>49</v>
      </c>
      <c r="E151" s="55">
        <v>3.23</v>
      </c>
      <c r="F151" s="55">
        <v>5.0199999999999996</v>
      </c>
      <c r="G151" s="13">
        <v>10</v>
      </c>
      <c r="H151" s="13">
        <v>23</v>
      </c>
      <c r="I151" s="43">
        <v>20</v>
      </c>
      <c r="J151" s="15">
        <v>46410</v>
      </c>
    </row>
    <row r="152" spans="1:10" x14ac:dyDescent="0.3">
      <c r="A152" s="14">
        <v>46117</v>
      </c>
      <c r="B152" s="7" t="s">
        <v>44</v>
      </c>
      <c r="C152" s="7" t="s">
        <v>36</v>
      </c>
      <c r="D152" s="7" t="s">
        <v>31</v>
      </c>
      <c r="E152" s="54">
        <v>1.48</v>
      </c>
      <c r="F152" s="54">
        <v>2.2599999999999998</v>
      </c>
      <c r="G152" s="13">
        <v>23</v>
      </c>
      <c r="H152" s="13">
        <v>18</v>
      </c>
      <c r="I152" s="42">
        <v>20</v>
      </c>
      <c r="J152" s="15">
        <v>46551</v>
      </c>
    </row>
    <row r="153" spans="1:10" x14ac:dyDescent="0.3">
      <c r="A153" s="14">
        <v>46117</v>
      </c>
      <c r="B153" s="7" t="s">
        <v>58</v>
      </c>
      <c r="C153" s="7" t="s">
        <v>30</v>
      </c>
      <c r="D153" s="7" t="s">
        <v>15</v>
      </c>
      <c r="E153" s="55">
        <v>1.87</v>
      </c>
      <c r="F153" s="55">
        <v>3.11</v>
      </c>
      <c r="G153" s="13">
        <v>10</v>
      </c>
      <c r="H153" s="13">
        <v>77</v>
      </c>
      <c r="I153" s="43">
        <v>15</v>
      </c>
      <c r="J153" s="15">
        <v>47009</v>
      </c>
    </row>
    <row r="154" spans="1:10" x14ac:dyDescent="0.3">
      <c r="A154" s="14">
        <v>46118</v>
      </c>
      <c r="B154" s="7" t="s">
        <v>21</v>
      </c>
      <c r="C154" s="7" t="s">
        <v>22</v>
      </c>
      <c r="D154" s="7" t="s">
        <v>12</v>
      </c>
      <c r="E154" s="54">
        <v>1.76</v>
      </c>
      <c r="F154" s="54">
        <v>2.82</v>
      </c>
      <c r="G154" s="13">
        <v>25</v>
      </c>
      <c r="H154" s="13">
        <v>66</v>
      </c>
      <c r="I154" s="42">
        <v>35</v>
      </c>
      <c r="J154" s="15">
        <v>46337</v>
      </c>
    </row>
    <row r="155" spans="1:10" x14ac:dyDescent="0.3">
      <c r="A155" s="14">
        <v>46118</v>
      </c>
      <c r="B155" s="7" t="s">
        <v>18</v>
      </c>
      <c r="C155" s="7" t="s">
        <v>19</v>
      </c>
      <c r="D155" s="7" t="s">
        <v>31</v>
      </c>
      <c r="E155" s="55">
        <v>1.57</v>
      </c>
      <c r="F155" s="55">
        <v>2.2999999999999998</v>
      </c>
      <c r="G155" s="13">
        <v>9</v>
      </c>
      <c r="H155" s="13">
        <v>18</v>
      </c>
      <c r="I155" s="43">
        <v>20</v>
      </c>
      <c r="J155" s="15">
        <v>46474</v>
      </c>
    </row>
    <row r="156" spans="1:10" x14ac:dyDescent="0.3">
      <c r="A156" s="14">
        <v>46118</v>
      </c>
      <c r="B156" s="7" t="s">
        <v>10</v>
      </c>
      <c r="C156" s="7" t="s">
        <v>11</v>
      </c>
      <c r="D156" s="7" t="s">
        <v>20</v>
      </c>
      <c r="E156" s="54">
        <v>1.85</v>
      </c>
      <c r="F156" s="54">
        <v>2.5099999999999998</v>
      </c>
      <c r="G156" s="13">
        <v>25</v>
      </c>
      <c r="H156" s="13">
        <v>44</v>
      </c>
      <c r="I156" s="42">
        <v>35</v>
      </c>
      <c r="J156" s="15">
        <v>47085</v>
      </c>
    </row>
    <row r="157" spans="1:10" x14ac:dyDescent="0.3">
      <c r="A157" s="14">
        <v>46119</v>
      </c>
      <c r="B157" s="7" t="s">
        <v>56</v>
      </c>
      <c r="C157" s="7" t="s">
        <v>41</v>
      </c>
      <c r="D157" s="7" t="s">
        <v>49</v>
      </c>
      <c r="E157" s="55">
        <v>1.71</v>
      </c>
      <c r="F157" s="55">
        <v>2.74</v>
      </c>
      <c r="G157" s="13">
        <v>4</v>
      </c>
      <c r="H157" s="13">
        <v>15</v>
      </c>
      <c r="I157" s="43">
        <v>15</v>
      </c>
      <c r="J157" s="15">
        <v>46816</v>
      </c>
    </row>
    <row r="158" spans="1:10" x14ac:dyDescent="0.3">
      <c r="A158" s="14">
        <v>46120</v>
      </c>
      <c r="B158" s="7" t="s">
        <v>37</v>
      </c>
      <c r="C158" s="7" t="s">
        <v>24</v>
      </c>
      <c r="D158" s="7" t="s">
        <v>26</v>
      </c>
      <c r="E158" s="54">
        <v>2.39</v>
      </c>
      <c r="F158" s="54">
        <v>3.89</v>
      </c>
      <c r="G158" s="13">
        <v>9</v>
      </c>
      <c r="H158" s="13">
        <v>51</v>
      </c>
      <c r="I158" s="42">
        <v>35</v>
      </c>
      <c r="J158" s="15">
        <v>47078</v>
      </c>
    </row>
    <row r="159" spans="1:10" x14ac:dyDescent="0.3">
      <c r="A159" s="14">
        <v>46120</v>
      </c>
      <c r="B159" s="7" t="s">
        <v>57</v>
      </c>
      <c r="C159" s="7" t="s">
        <v>19</v>
      </c>
      <c r="D159" s="7" t="s">
        <v>49</v>
      </c>
      <c r="E159" s="55">
        <v>1.23</v>
      </c>
      <c r="F159" s="55">
        <v>1.93</v>
      </c>
      <c r="G159" s="13">
        <v>10</v>
      </c>
      <c r="H159" s="13">
        <v>32</v>
      </c>
      <c r="I159" s="43">
        <v>15</v>
      </c>
      <c r="J159" s="15">
        <v>46717</v>
      </c>
    </row>
    <row r="160" spans="1:10" x14ac:dyDescent="0.3">
      <c r="A160" s="14">
        <v>46121</v>
      </c>
      <c r="B160" s="7" t="s">
        <v>37</v>
      </c>
      <c r="C160" s="7" t="s">
        <v>24</v>
      </c>
      <c r="D160" s="7" t="s">
        <v>31</v>
      </c>
      <c r="E160" s="54">
        <v>2.39</v>
      </c>
      <c r="F160" s="54">
        <v>3.89</v>
      </c>
      <c r="G160" s="13">
        <v>11</v>
      </c>
      <c r="H160" s="13">
        <v>52</v>
      </c>
      <c r="I160" s="42">
        <v>35</v>
      </c>
      <c r="J160" s="15">
        <v>46773</v>
      </c>
    </row>
    <row r="161" spans="1:10" x14ac:dyDescent="0.3">
      <c r="A161" s="14">
        <v>46121</v>
      </c>
      <c r="B161" s="7" t="s">
        <v>42</v>
      </c>
      <c r="C161" s="7" t="s">
        <v>43</v>
      </c>
      <c r="D161" s="7" t="s">
        <v>12</v>
      </c>
      <c r="E161" s="55">
        <v>1.95</v>
      </c>
      <c r="F161" s="55">
        <v>3.09</v>
      </c>
      <c r="G161" s="13">
        <v>16</v>
      </c>
      <c r="H161" s="13">
        <v>57</v>
      </c>
      <c r="I161" s="43">
        <v>35</v>
      </c>
      <c r="J161" s="15">
        <v>46626</v>
      </c>
    </row>
    <row r="162" spans="1:10" x14ac:dyDescent="0.3">
      <c r="A162" s="14">
        <v>46122</v>
      </c>
      <c r="B162" s="7" t="s">
        <v>25</v>
      </c>
      <c r="C162" s="7" t="s">
        <v>11</v>
      </c>
      <c r="D162" s="7" t="s">
        <v>15</v>
      </c>
      <c r="E162" s="54">
        <v>1.54</v>
      </c>
      <c r="F162" s="54">
        <v>2.5</v>
      </c>
      <c r="G162" s="13">
        <v>19</v>
      </c>
      <c r="H162" s="13">
        <v>90</v>
      </c>
      <c r="I162" s="42">
        <v>35</v>
      </c>
      <c r="J162" s="15">
        <v>47064</v>
      </c>
    </row>
    <row r="163" spans="1:10" x14ac:dyDescent="0.3">
      <c r="A163" s="14">
        <v>46123</v>
      </c>
      <c r="B163" s="7" t="s">
        <v>57</v>
      </c>
      <c r="C163" s="7" t="s">
        <v>19</v>
      </c>
      <c r="D163" s="7" t="s">
        <v>34</v>
      </c>
      <c r="E163" s="55">
        <v>1.23</v>
      </c>
      <c r="F163" s="55">
        <v>1.93</v>
      </c>
      <c r="G163" s="13">
        <v>12</v>
      </c>
      <c r="H163" s="13">
        <v>41</v>
      </c>
      <c r="I163" s="43">
        <v>15</v>
      </c>
      <c r="J163" s="15">
        <v>46654</v>
      </c>
    </row>
    <row r="164" spans="1:10" x14ac:dyDescent="0.3">
      <c r="A164" s="14">
        <v>46123</v>
      </c>
      <c r="B164" s="7" t="s">
        <v>52</v>
      </c>
      <c r="C164" s="7" t="s">
        <v>14</v>
      </c>
      <c r="D164" s="7" t="s">
        <v>34</v>
      </c>
      <c r="E164" s="54">
        <v>1.89</v>
      </c>
      <c r="F164" s="54">
        <v>3.03</v>
      </c>
      <c r="G164" s="13">
        <v>37</v>
      </c>
      <c r="H164" s="13">
        <v>137</v>
      </c>
      <c r="I164" s="42">
        <v>35</v>
      </c>
      <c r="J164" s="15">
        <v>46936</v>
      </c>
    </row>
    <row r="165" spans="1:10" x14ac:dyDescent="0.3">
      <c r="A165" s="14">
        <v>46124</v>
      </c>
      <c r="B165" s="7" t="s">
        <v>38</v>
      </c>
      <c r="C165" s="7" t="s">
        <v>28</v>
      </c>
      <c r="D165" s="7" t="s">
        <v>31</v>
      </c>
      <c r="E165" s="55">
        <v>4.24</v>
      </c>
      <c r="F165" s="55">
        <v>7.38</v>
      </c>
      <c r="G165" s="13">
        <v>15</v>
      </c>
      <c r="H165" s="13">
        <v>53</v>
      </c>
      <c r="I165" s="43">
        <v>20</v>
      </c>
      <c r="J165" s="15">
        <v>46692</v>
      </c>
    </row>
    <row r="166" spans="1:10" x14ac:dyDescent="0.3">
      <c r="A166" s="14">
        <v>46125</v>
      </c>
      <c r="B166" s="7" t="s">
        <v>54</v>
      </c>
      <c r="C166" s="7" t="s">
        <v>36</v>
      </c>
      <c r="D166" s="7" t="s">
        <v>31</v>
      </c>
      <c r="E166" s="54">
        <v>1.0900000000000001</v>
      </c>
      <c r="F166" s="54">
        <v>1.77</v>
      </c>
      <c r="G166" s="13">
        <v>14</v>
      </c>
      <c r="H166" s="13">
        <v>87</v>
      </c>
      <c r="I166" s="42">
        <v>35</v>
      </c>
      <c r="J166" s="15">
        <v>46787</v>
      </c>
    </row>
    <row r="167" spans="1:10" x14ac:dyDescent="0.3">
      <c r="A167" s="14">
        <v>46125</v>
      </c>
      <c r="B167" s="7" t="s">
        <v>53</v>
      </c>
      <c r="C167" s="7" t="s">
        <v>30</v>
      </c>
      <c r="D167" s="7" t="s">
        <v>12</v>
      </c>
      <c r="E167" s="55">
        <v>1.04</v>
      </c>
      <c r="F167" s="55">
        <v>1.58</v>
      </c>
      <c r="G167" s="13">
        <v>13</v>
      </c>
      <c r="H167" s="13">
        <v>41</v>
      </c>
      <c r="I167" s="43">
        <v>20</v>
      </c>
      <c r="J167" s="15">
        <v>46333</v>
      </c>
    </row>
    <row r="168" spans="1:10" x14ac:dyDescent="0.3">
      <c r="A168" s="14">
        <v>46126</v>
      </c>
      <c r="B168" s="7" t="s">
        <v>21</v>
      </c>
      <c r="C168" s="7" t="s">
        <v>22</v>
      </c>
      <c r="D168" s="7" t="s">
        <v>15</v>
      </c>
      <c r="E168" s="54">
        <v>1.76</v>
      </c>
      <c r="F168" s="54">
        <v>2.82</v>
      </c>
      <c r="G168" s="13">
        <v>15</v>
      </c>
      <c r="H168" s="13">
        <v>42</v>
      </c>
      <c r="I168" s="42">
        <v>35</v>
      </c>
      <c r="J168" s="15">
        <v>46924</v>
      </c>
    </row>
    <row r="169" spans="1:10" x14ac:dyDescent="0.3">
      <c r="A169" s="14">
        <v>46126</v>
      </c>
      <c r="B169" s="7" t="s">
        <v>44</v>
      </c>
      <c r="C169" s="7" t="s">
        <v>36</v>
      </c>
      <c r="D169" s="7" t="s">
        <v>31</v>
      </c>
      <c r="E169" s="55">
        <v>1.48</v>
      </c>
      <c r="F169" s="55">
        <v>2.2599999999999998</v>
      </c>
      <c r="G169" s="13">
        <v>19</v>
      </c>
      <c r="H169" s="13">
        <v>58</v>
      </c>
      <c r="I169" s="43">
        <v>20</v>
      </c>
      <c r="J169" s="15">
        <v>46649</v>
      </c>
    </row>
    <row r="170" spans="1:10" x14ac:dyDescent="0.3">
      <c r="A170" s="14">
        <v>46127</v>
      </c>
      <c r="B170" s="7" t="s">
        <v>21</v>
      </c>
      <c r="C170" s="7" t="s">
        <v>22</v>
      </c>
      <c r="D170" s="7" t="s">
        <v>12</v>
      </c>
      <c r="E170" s="54">
        <v>1.76</v>
      </c>
      <c r="F170" s="54">
        <v>2.82</v>
      </c>
      <c r="G170" s="13">
        <v>26</v>
      </c>
      <c r="H170" s="13">
        <v>100</v>
      </c>
      <c r="I170" s="42">
        <v>35</v>
      </c>
      <c r="J170" s="15">
        <v>46812</v>
      </c>
    </row>
    <row r="171" spans="1:10" x14ac:dyDescent="0.3">
      <c r="A171" s="14">
        <v>46127</v>
      </c>
      <c r="B171" s="7" t="s">
        <v>38</v>
      </c>
      <c r="C171" s="7" t="s">
        <v>28</v>
      </c>
      <c r="D171" s="7" t="s">
        <v>26</v>
      </c>
      <c r="E171" s="55">
        <v>4.24</v>
      </c>
      <c r="F171" s="55">
        <v>7.38</v>
      </c>
      <c r="G171" s="13">
        <v>9</v>
      </c>
      <c r="H171" s="13">
        <v>43</v>
      </c>
      <c r="I171" s="43">
        <v>20</v>
      </c>
      <c r="J171" s="15">
        <v>47072</v>
      </c>
    </row>
    <row r="172" spans="1:10" x14ac:dyDescent="0.3">
      <c r="A172" s="14">
        <v>46128</v>
      </c>
      <c r="B172" s="7" t="s">
        <v>25</v>
      </c>
      <c r="C172" s="7" t="s">
        <v>11</v>
      </c>
      <c r="D172" s="7" t="s">
        <v>34</v>
      </c>
      <c r="E172" s="54">
        <v>1.54</v>
      </c>
      <c r="F172" s="54">
        <v>2.5</v>
      </c>
      <c r="G172" s="13">
        <v>24</v>
      </c>
      <c r="H172" s="13">
        <v>57</v>
      </c>
      <c r="I172" s="42">
        <v>35</v>
      </c>
      <c r="J172" s="15">
        <v>46629</v>
      </c>
    </row>
    <row r="173" spans="1:10" x14ac:dyDescent="0.3">
      <c r="A173" s="14">
        <v>46128</v>
      </c>
      <c r="B173" s="7" t="s">
        <v>57</v>
      </c>
      <c r="C173" s="7" t="s">
        <v>19</v>
      </c>
      <c r="D173" s="7" t="s">
        <v>34</v>
      </c>
      <c r="E173" s="55">
        <v>1.23</v>
      </c>
      <c r="F173" s="55">
        <v>1.93</v>
      </c>
      <c r="G173" s="13">
        <v>7</v>
      </c>
      <c r="H173" s="13">
        <v>9</v>
      </c>
      <c r="I173" s="43">
        <v>15</v>
      </c>
      <c r="J173" s="15">
        <v>46508</v>
      </c>
    </row>
    <row r="174" spans="1:10" x14ac:dyDescent="0.3">
      <c r="A174" s="14">
        <v>46129</v>
      </c>
      <c r="B174" s="7" t="s">
        <v>40</v>
      </c>
      <c r="C174" s="7" t="s">
        <v>41</v>
      </c>
      <c r="D174" s="7" t="s">
        <v>31</v>
      </c>
      <c r="E174" s="54">
        <v>1.81</v>
      </c>
      <c r="F174" s="54">
        <v>3.15</v>
      </c>
      <c r="G174" s="13">
        <v>8</v>
      </c>
      <c r="H174" s="13">
        <v>7</v>
      </c>
      <c r="I174" s="42">
        <v>15</v>
      </c>
      <c r="J174" s="15">
        <v>46820</v>
      </c>
    </row>
    <row r="175" spans="1:10" x14ac:dyDescent="0.3">
      <c r="A175" s="14">
        <v>46130</v>
      </c>
      <c r="B175" s="7" t="s">
        <v>48</v>
      </c>
      <c r="C175" s="7" t="s">
        <v>43</v>
      </c>
      <c r="D175" s="7" t="s">
        <v>20</v>
      </c>
      <c r="E175" s="55">
        <v>3.19</v>
      </c>
      <c r="F175" s="55">
        <v>4.88</v>
      </c>
      <c r="G175" s="13">
        <v>12</v>
      </c>
      <c r="H175" s="13">
        <v>39</v>
      </c>
      <c r="I175" s="43">
        <v>20</v>
      </c>
      <c r="J175" s="15">
        <v>46479</v>
      </c>
    </row>
    <row r="176" spans="1:10" x14ac:dyDescent="0.3">
      <c r="A176" s="14">
        <v>46131</v>
      </c>
      <c r="B176" s="7" t="s">
        <v>39</v>
      </c>
      <c r="C176" s="7" t="s">
        <v>14</v>
      </c>
      <c r="D176" s="7" t="s">
        <v>49</v>
      </c>
      <c r="E176" s="54">
        <v>2.58</v>
      </c>
      <c r="F176" s="54">
        <v>4.3899999999999997</v>
      </c>
      <c r="G176" s="13">
        <v>22</v>
      </c>
      <c r="H176" s="13">
        <v>28</v>
      </c>
      <c r="I176" s="42">
        <v>35</v>
      </c>
      <c r="J176" s="15">
        <v>47049</v>
      </c>
    </row>
    <row r="177" spans="1:10" x14ac:dyDescent="0.3">
      <c r="A177" s="14">
        <v>46132</v>
      </c>
      <c r="B177" s="7" t="s">
        <v>55</v>
      </c>
      <c r="C177" s="7" t="s">
        <v>41</v>
      </c>
      <c r="D177" s="7" t="s">
        <v>20</v>
      </c>
      <c r="E177" s="55">
        <v>2.25</v>
      </c>
      <c r="F177" s="55">
        <v>3.07</v>
      </c>
      <c r="G177" s="13">
        <v>7</v>
      </c>
      <c r="H177" s="13">
        <v>13</v>
      </c>
      <c r="I177" s="43">
        <v>15</v>
      </c>
      <c r="J177" s="15">
        <v>46839</v>
      </c>
    </row>
    <row r="178" spans="1:10" x14ac:dyDescent="0.3">
      <c r="A178" s="14">
        <v>46132</v>
      </c>
      <c r="B178" s="7" t="s">
        <v>39</v>
      </c>
      <c r="C178" s="7" t="s">
        <v>14</v>
      </c>
      <c r="D178" s="7" t="s">
        <v>34</v>
      </c>
      <c r="E178" s="54">
        <v>2.58</v>
      </c>
      <c r="F178" s="54">
        <v>4.3899999999999997</v>
      </c>
      <c r="G178" s="13">
        <v>20</v>
      </c>
      <c r="H178" s="13">
        <v>81</v>
      </c>
      <c r="I178" s="42">
        <v>35</v>
      </c>
      <c r="J178" s="15">
        <v>46955</v>
      </c>
    </row>
    <row r="179" spans="1:10" x14ac:dyDescent="0.3">
      <c r="A179" s="14">
        <v>46133</v>
      </c>
      <c r="B179" s="7" t="s">
        <v>39</v>
      </c>
      <c r="C179" s="7" t="s">
        <v>14</v>
      </c>
      <c r="D179" s="7" t="s">
        <v>31</v>
      </c>
      <c r="E179" s="55">
        <v>2.58</v>
      </c>
      <c r="F179" s="55">
        <v>4.3899999999999997</v>
      </c>
      <c r="G179" s="13">
        <v>12</v>
      </c>
      <c r="H179" s="13">
        <v>33</v>
      </c>
      <c r="I179" s="43">
        <v>35</v>
      </c>
      <c r="J179" s="15">
        <v>46441</v>
      </c>
    </row>
    <row r="180" spans="1:10" x14ac:dyDescent="0.3">
      <c r="A180" s="14">
        <v>46133</v>
      </c>
      <c r="B180" s="7" t="s">
        <v>42</v>
      </c>
      <c r="C180" s="7" t="s">
        <v>43</v>
      </c>
      <c r="D180" s="7" t="s">
        <v>49</v>
      </c>
      <c r="E180" s="54">
        <v>1.95</v>
      </c>
      <c r="F180" s="54">
        <v>3.09</v>
      </c>
      <c r="G180" s="13">
        <v>7</v>
      </c>
      <c r="H180" s="13">
        <v>29</v>
      </c>
      <c r="I180" s="42">
        <v>35</v>
      </c>
      <c r="J180" s="15">
        <v>47108</v>
      </c>
    </row>
    <row r="181" spans="1:10" x14ac:dyDescent="0.3">
      <c r="A181" s="14">
        <v>46134</v>
      </c>
      <c r="B181" s="7" t="s">
        <v>35</v>
      </c>
      <c r="C181" s="7" t="s">
        <v>36</v>
      </c>
      <c r="D181" s="7" t="s">
        <v>34</v>
      </c>
      <c r="E181" s="55">
        <v>3.23</v>
      </c>
      <c r="F181" s="55">
        <v>5.0199999999999996</v>
      </c>
      <c r="G181" s="13">
        <v>18</v>
      </c>
      <c r="H181" s="13">
        <v>33</v>
      </c>
      <c r="I181" s="43">
        <v>20</v>
      </c>
      <c r="J181" s="15">
        <v>47077</v>
      </c>
    </row>
    <row r="182" spans="1:10" x14ac:dyDescent="0.3">
      <c r="A182" s="14">
        <v>46134</v>
      </c>
      <c r="B182" s="7" t="s">
        <v>35</v>
      </c>
      <c r="C182" s="7" t="s">
        <v>36</v>
      </c>
      <c r="D182" s="7" t="s">
        <v>31</v>
      </c>
      <c r="E182" s="54">
        <v>3.23</v>
      </c>
      <c r="F182" s="54">
        <v>5.0199999999999996</v>
      </c>
      <c r="G182" s="13">
        <v>15</v>
      </c>
      <c r="H182" s="13">
        <v>67</v>
      </c>
      <c r="I182" s="42">
        <v>20</v>
      </c>
      <c r="J182" s="15">
        <v>46449</v>
      </c>
    </row>
    <row r="183" spans="1:10" x14ac:dyDescent="0.3">
      <c r="A183" s="14">
        <v>46134</v>
      </c>
      <c r="B183" s="7" t="s">
        <v>42</v>
      </c>
      <c r="C183" s="7" t="s">
        <v>43</v>
      </c>
      <c r="D183" s="7" t="s">
        <v>26</v>
      </c>
      <c r="E183" s="55">
        <v>1.95</v>
      </c>
      <c r="F183" s="55">
        <v>3.09</v>
      </c>
      <c r="G183" s="13">
        <v>15</v>
      </c>
      <c r="H183" s="13">
        <v>35</v>
      </c>
      <c r="I183" s="43">
        <v>35</v>
      </c>
      <c r="J183" s="15">
        <v>46534</v>
      </c>
    </row>
    <row r="184" spans="1:10" x14ac:dyDescent="0.3">
      <c r="A184" s="14">
        <v>46134</v>
      </c>
      <c r="B184" s="7" t="s">
        <v>13</v>
      </c>
      <c r="C184" s="7" t="s">
        <v>14</v>
      </c>
      <c r="D184" s="7" t="s">
        <v>26</v>
      </c>
      <c r="E184" s="54">
        <v>1.1499999999999999</v>
      </c>
      <c r="F184" s="54">
        <v>1.95</v>
      </c>
      <c r="G184" s="13">
        <v>4</v>
      </c>
      <c r="H184" s="13">
        <v>30</v>
      </c>
      <c r="I184" s="42">
        <v>15</v>
      </c>
      <c r="J184" s="15">
        <v>46960</v>
      </c>
    </row>
    <row r="185" spans="1:10" x14ac:dyDescent="0.3">
      <c r="A185" s="14">
        <v>46135</v>
      </c>
      <c r="B185" s="7" t="s">
        <v>39</v>
      </c>
      <c r="C185" s="7" t="s">
        <v>14</v>
      </c>
      <c r="D185" s="7" t="s">
        <v>31</v>
      </c>
      <c r="E185" s="55">
        <v>2.58</v>
      </c>
      <c r="F185" s="55">
        <v>4.3899999999999997</v>
      </c>
      <c r="G185" s="13">
        <v>20</v>
      </c>
      <c r="H185" s="13">
        <v>35</v>
      </c>
      <c r="I185" s="43">
        <v>35</v>
      </c>
      <c r="J185" s="15">
        <v>46622</v>
      </c>
    </row>
    <row r="186" spans="1:10" x14ac:dyDescent="0.3">
      <c r="A186" s="14">
        <v>46135</v>
      </c>
      <c r="B186" s="7" t="s">
        <v>42</v>
      </c>
      <c r="C186" s="7" t="s">
        <v>43</v>
      </c>
      <c r="D186" s="7" t="s">
        <v>20</v>
      </c>
      <c r="E186" s="54">
        <v>1.95</v>
      </c>
      <c r="F186" s="54">
        <v>3.09</v>
      </c>
      <c r="G186" s="13">
        <v>19</v>
      </c>
      <c r="H186" s="13">
        <v>33</v>
      </c>
      <c r="I186" s="42">
        <v>35</v>
      </c>
      <c r="J186" s="15">
        <v>46997</v>
      </c>
    </row>
    <row r="187" spans="1:10" x14ac:dyDescent="0.3">
      <c r="A187" s="14">
        <v>46135</v>
      </c>
      <c r="B187" s="7" t="s">
        <v>47</v>
      </c>
      <c r="C187" s="7" t="s">
        <v>43</v>
      </c>
      <c r="D187" s="7" t="s">
        <v>34</v>
      </c>
      <c r="E187" s="55">
        <v>4.33</v>
      </c>
      <c r="F187" s="55">
        <v>7.26</v>
      </c>
      <c r="G187" s="13">
        <v>8</v>
      </c>
      <c r="H187" s="13">
        <v>14</v>
      </c>
      <c r="I187" s="43">
        <v>15</v>
      </c>
      <c r="J187" s="15">
        <v>46722</v>
      </c>
    </row>
    <row r="188" spans="1:10" x14ac:dyDescent="0.3">
      <c r="A188" s="14">
        <v>46136</v>
      </c>
      <c r="B188" s="7" t="s">
        <v>51</v>
      </c>
      <c r="C188" s="7" t="s">
        <v>28</v>
      </c>
      <c r="D188" s="7" t="s">
        <v>31</v>
      </c>
      <c r="E188" s="54">
        <v>3.42</v>
      </c>
      <c r="F188" s="54">
        <v>5.27</v>
      </c>
      <c r="G188" s="13">
        <v>12</v>
      </c>
      <c r="H188" s="13">
        <v>35</v>
      </c>
      <c r="I188" s="42">
        <v>35</v>
      </c>
      <c r="J188" s="15">
        <v>46535</v>
      </c>
    </row>
    <row r="189" spans="1:10" x14ac:dyDescent="0.3">
      <c r="A189" s="14">
        <v>46136</v>
      </c>
      <c r="B189" s="7" t="s">
        <v>58</v>
      </c>
      <c r="C189" s="7" t="s">
        <v>30</v>
      </c>
      <c r="D189" s="7" t="s">
        <v>26</v>
      </c>
      <c r="E189" s="55">
        <v>1.87</v>
      </c>
      <c r="F189" s="55">
        <v>3.11</v>
      </c>
      <c r="G189" s="13">
        <v>25</v>
      </c>
      <c r="H189" s="13">
        <v>37</v>
      </c>
      <c r="I189" s="43">
        <v>15</v>
      </c>
      <c r="J189" s="15">
        <v>46872</v>
      </c>
    </row>
    <row r="190" spans="1:10" x14ac:dyDescent="0.3">
      <c r="A190" s="14">
        <v>46137</v>
      </c>
      <c r="B190" s="7" t="s">
        <v>47</v>
      </c>
      <c r="C190" s="7" t="s">
        <v>43</v>
      </c>
      <c r="D190" s="7" t="s">
        <v>49</v>
      </c>
      <c r="E190" s="54">
        <v>4.33</v>
      </c>
      <c r="F190" s="54">
        <v>7.26</v>
      </c>
      <c r="G190" s="13">
        <v>11</v>
      </c>
      <c r="H190" s="13">
        <v>5</v>
      </c>
      <c r="I190" s="42">
        <v>15</v>
      </c>
      <c r="J190" s="15">
        <v>46916</v>
      </c>
    </row>
    <row r="191" spans="1:10" x14ac:dyDescent="0.3">
      <c r="A191" s="14">
        <v>46138</v>
      </c>
      <c r="B191" s="7" t="s">
        <v>10</v>
      </c>
      <c r="C191" s="7" t="s">
        <v>11</v>
      </c>
      <c r="D191" s="7" t="s">
        <v>34</v>
      </c>
      <c r="E191" s="55">
        <v>1.85</v>
      </c>
      <c r="F191" s="55">
        <v>2.5099999999999998</v>
      </c>
      <c r="G191" s="13">
        <v>16</v>
      </c>
      <c r="H191" s="13">
        <v>114</v>
      </c>
      <c r="I191" s="43">
        <v>35</v>
      </c>
      <c r="J191" s="15">
        <v>46769</v>
      </c>
    </row>
    <row r="192" spans="1:10" x14ac:dyDescent="0.3">
      <c r="A192" s="14">
        <v>46138</v>
      </c>
      <c r="B192" s="7" t="s">
        <v>13</v>
      </c>
      <c r="C192" s="7" t="s">
        <v>14</v>
      </c>
      <c r="D192" s="7" t="s">
        <v>15</v>
      </c>
      <c r="E192" s="54">
        <v>1.1499999999999999</v>
      </c>
      <c r="F192" s="54">
        <v>1.95</v>
      </c>
      <c r="G192" s="13">
        <v>8</v>
      </c>
      <c r="H192" s="13">
        <v>7</v>
      </c>
      <c r="I192" s="42">
        <v>15</v>
      </c>
      <c r="J192" s="15">
        <v>46894</v>
      </c>
    </row>
    <row r="193" spans="1:10" x14ac:dyDescent="0.3">
      <c r="A193" s="14">
        <v>46138</v>
      </c>
      <c r="B193" s="7" t="s">
        <v>44</v>
      </c>
      <c r="C193" s="7" t="s">
        <v>36</v>
      </c>
      <c r="D193" s="7" t="s">
        <v>26</v>
      </c>
      <c r="E193" s="55">
        <v>1.48</v>
      </c>
      <c r="F193" s="55">
        <v>2.2599999999999998</v>
      </c>
      <c r="G193" s="13">
        <v>21</v>
      </c>
      <c r="H193" s="13">
        <v>37</v>
      </c>
      <c r="I193" s="43">
        <v>20</v>
      </c>
      <c r="J193" s="15">
        <v>46823</v>
      </c>
    </row>
    <row r="194" spans="1:10" x14ac:dyDescent="0.3">
      <c r="A194" s="14">
        <v>46140</v>
      </c>
      <c r="B194" s="7" t="s">
        <v>29</v>
      </c>
      <c r="C194" s="7" t="s">
        <v>30</v>
      </c>
      <c r="D194" s="7" t="s">
        <v>26</v>
      </c>
      <c r="E194" s="54">
        <v>2.89</v>
      </c>
      <c r="F194" s="54">
        <v>4.4400000000000004</v>
      </c>
      <c r="G194" s="13">
        <v>10</v>
      </c>
      <c r="H194" s="13">
        <v>80</v>
      </c>
      <c r="I194" s="42">
        <v>20</v>
      </c>
      <c r="J194" s="15">
        <v>46754</v>
      </c>
    </row>
    <row r="195" spans="1:10" x14ac:dyDescent="0.3">
      <c r="A195" s="14">
        <v>46140</v>
      </c>
      <c r="B195" s="7" t="s">
        <v>47</v>
      </c>
      <c r="C195" s="7" t="s">
        <v>43</v>
      </c>
      <c r="D195" s="7" t="s">
        <v>20</v>
      </c>
      <c r="E195" s="55">
        <v>4.33</v>
      </c>
      <c r="F195" s="55">
        <v>7.26</v>
      </c>
      <c r="G195" s="13">
        <v>9</v>
      </c>
      <c r="H195" s="13">
        <v>20</v>
      </c>
      <c r="I195" s="43">
        <v>15</v>
      </c>
      <c r="J195" s="15">
        <v>46581</v>
      </c>
    </row>
    <row r="196" spans="1:10" x14ac:dyDescent="0.3">
      <c r="A196" s="14">
        <v>46141</v>
      </c>
      <c r="B196" s="7" t="s">
        <v>37</v>
      </c>
      <c r="C196" s="7" t="s">
        <v>24</v>
      </c>
      <c r="D196" s="7" t="s">
        <v>26</v>
      </c>
      <c r="E196" s="54">
        <v>2.39</v>
      </c>
      <c r="F196" s="54">
        <v>3.89</v>
      </c>
      <c r="G196" s="13">
        <v>14</v>
      </c>
      <c r="H196" s="13">
        <v>41</v>
      </c>
      <c r="I196" s="42">
        <v>35</v>
      </c>
      <c r="J196" s="15">
        <v>46767</v>
      </c>
    </row>
    <row r="197" spans="1:10" x14ac:dyDescent="0.3">
      <c r="A197" s="14">
        <v>46141</v>
      </c>
      <c r="B197" s="7" t="s">
        <v>13</v>
      </c>
      <c r="C197" s="7" t="s">
        <v>14</v>
      </c>
      <c r="D197" s="7" t="s">
        <v>20</v>
      </c>
      <c r="E197" s="55">
        <v>1.1499999999999999</v>
      </c>
      <c r="F197" s="55">
        <v>1.95</v>
      </c>
      <c r="G197" s="13">
        <v>6</v>
      </c>
      <c r="H197" s="13">
        <v>28</v>
      </c>
      <c r="I197" s="43">
        <v>15</v>
      </c>
      <c r="J197" s="15">
        <v>46976</v>
      </c>
    </row>
    <row r="198" spans="1:10" x14ac:dyDescent="0.3">
      <c r="A198" s="14">
        <v>46141</v>
      </c>
      <c r="B198" s="7" t="s">
        <v>18</v>
      </c>
      <c r="C198" s="7" t="s">
        <v>19</v>
      </c>
      <c r="D198" s="7" t="s">
        <v>26</v>
      </c>
      <c r="E198" s="54">
        <v>1.57</v>
      </c>
      <c r="F198" s="54">
        <v>2.2999999999999998</v>
      </c>
      <c r="G198" s="13">
        <v>16</v>
      </c>
      <c r="H198" s="13">
        <v>31</v>
      </c>
      <c r="I198" s="42">
        <v>20</v>
      </c>
      <c r="J198" s="15">
        <v>46937</v>
      </c>
    </row>
    <row r="199" spans="1:10" x14ac:dyDescent="0.3">
      <c r="A199" s="14">
        <v>46142</v>
      </c>
      <c r="B199" s="7" t="s">
        <v>55</v>
      </c>
      <c r="C199" s="7" t="s">
        <v>41</v>
      </c>
      <c r="D199" s="7" t="s">
        <v>15</v>
      </c>
      <c r="E199" s="55">
        <v>2.25</v>
      </c>
      <c r="F199" s="55">
        <v>3.07</v>
      </c>
      <c r="G199" s="13">
        <v>6</v>
      </c>
      <c r="H199" s="13">
        <v>14</v>
      </c>
      <c r="I199" s="43">
        <v>15</v>
      </c>
      <c r="J199" s="15">
        <v>46393</v>
      </c>
    </row>
    <row r="200" spans="1:10" x14ac:dyDescent="0.3">
      <c r="A200" s="14">
        <v>46144</v>
      </c>
      <c r="B200" s="7" t="s">
        <v>50</v>
      </c>
      <c r="C200" s="7" t="s">
        <v>17</v>
      </c>
      <c r="D200" s="7" t="s">
        <v>15</v>
      </c>
      <c r="E200" s="54">
        <v>0.85</v>
      </c>
      <c r="F200" s="54">
        <v>1.1499999999999999</v>
      </c>
      <c r="G200" s="13">
        <v>24</v>
      </c>
      <c r="H200" s="13">
        <v>105</v>
      </c>
      <c r="I200" s="42">
        <v>20</v>
      </c>
      <c r="J200" s="15">
        <v>46921</v>
      </c>
    </row>
    <row r="201" spans="1:10" x14ac:dyDescent="0.3">
      <c r="A201" s="14">
        <v>46147</v>
      </c>
      <c r="B201" s="7" t="s">
        <v>55</v>
      </c>
      <c r="C201" s="7" t="s">
        <v>41</v>
      </c>
      <c r="D201" s="7" t="s">
        <v>26</v>
      </c>
      <c r="E201" s="55">
        <v>2.25</v>
      </c>
      <c r="F201" s="55">
        <v>3.07</v>
      </c>
      <c r="G201" s="13">
        <v>3</v>
      </c>
      <c r="H201" s="13">
        <v>26</v>
      </c>
      <c r="I201" s="43">
        <v>15</v>
      </c>
      <c r="J201" s="15">
        <v>47013</v>
      </c>
    </row>
    <row r="202" spans="1:10" x14ac:dyDescent="0.3">
      <c r="A202" s="14">
        <v>46147</v>
      </c>
      <c r="B202" s="7" t="s">
        <v>29</v>
      </c>
      <c r="C202" s="7" t="s">
        <v>30</v>
      </c>
      <c r="D202" s="7" t="s">
        <v>49</v>
      </c>
      <c r="E202" s="54">
        <v>2.89</v>
      </c>
      <c r="F202" s="54">
        <v>4.4400000000000004</v>
      </c>
      <c r="G202" s="13">
        <v>10</v>
      </c>
      <c r="H202" s="13">
        <v>79</v>
      </c>
      <c r="I202" s="42">
        <v>20</v>
      </c>
      <c r="J202" s="15">
        <v>46521</v>
      </c>
    </row>
    <row r="203" spans="1:10" x14ac:dyDescent="0.3">
      <c r="A203" s="14">
        <v>46148</v>
      </c>
      <c r="B203" s="7" t="s">
        <v>21</v>
      </c>
      <c r="C203" s="7" t="s">
        <v>22</v>
      </c>
      <c r="D203" s="7" t="s">
        <v>34</v>
      </c>
      <c r="E203" s="55">
        <v>1.76</v>
      </c>
      <c r="F203" s="55">
        <v>2.82</v>
      </c>
      <c r="G203" s="13">
        <v>14</v>
      </c>
      <c r="H203" s="13">
        <v>82</v>
      </c>
      <c r="I203" s="43">
        <v>35</v>
      </c>
      <c r="J203" s="15">
        <v>46756</v>
      </c>
    </row>
    <row r="204" spans="1:10" x14ac:dyDescent="0.3">
      <c r="A204" s="14">
        <v>46149</v>
      </c>
      <c r="B204" s="7" t="s">
        <v>42</v>
      </c>
      <c r="C204" s="7" t="s">
        <v>43</v>
      </c>
      <c r="D204" s="7" t="s">
        <v>15</v>
      </c>
      <c r="E204" s="54">
        <v>1.95</v>
      </c>
      <c r="F204" s="54">
        <v>3.09</v>
      </c>
      <c r="G204" s="13">
        <v>15</v>
      </c>
      <c r="H204" s="13">
        <v>9</v>
      </c>
      <c r="I204" s="42">
        <v>35</v>
      </c>
      <c r="J204" s="15">
        <v>46882</v>
      </c>
    </row>
    <row r="205" spans="1:10" x14ac:dyDescent="0.3">
      <c r="A205" s="14">
        <v>46149</v>
      </c>
      <c r="B205" s="7" t="s">
        <v>35</v>
      </c>
      <c r="C205" s="7" t="s">
        <v>36</v>
      </c>
      <c r="D205" s="7" t="s">
        <v>20</v>
      </c>
      <c r="E205" s="55">
        <v>3.23</v>
      </c>
      <c r="F205" s="55">
        <v>5.0199999999999996</v>
      </c>
      <c r="G205" s="13">
        <v>8</v>
      </c>
      <c r="H205" s="13">
        <v>45</v>
      </c>
      <c r="I205" s="43">
        <v>20</v>
      </c>
      <c r="J205" s="15">
        <v>46837</v>
      </c>
    </row>
    <row r="206" spans="1:10" x14ac:dyDescent="0.3">
      <c r="A206" s="14">
        <v>46150</v>
      </c>
      <c r="B206" s="7" t="s">
        <v>23</v>
      </c>
      <c r="C206" s="7" t="s">
        <v>24</v>
      </c>
      <c r="D206" s="7" t="s">
        <v>15</v>
      </c>
      <c r="E206" s="54">
        <v>3.03</v>
      </c>
      <c r="F206" s="54">
        <v>4.37</v>
      </c>
      <c r="G206" s="13">
        <v>3</v>
      </c>
      <c r="H206" s="13">
        <v>13</v>
      </c>
      <c r="I206" s="42">
        <v>15</v>
      </c>
      <c r="J206" s="15">
        <v>46867</v>
      </c>
    </row>
    <row r="207" spans="1:10" x14ac:dyDescent="0.3">
      <c r="A207" s="14">
        <v>46150</v>
      </c>
      <c r="B207" s="7" t="s">
        <v>55</v>
      </c>
      <c r="C207" s="7" t="s">
        <v>41</v>
      </c>
      <c r="D207" s="7" t="s">
        <v>15</v>
      </c>
      <c r="E207" s="55">
        <v>2.25</v>
      </c>
      <c r="F207" s="55">
        <v>3.07</v>
      </c>
      <c r="G207" s="13">
        <v>4</v>
      </c>
      <c r="H207" s="13">
        <v>23</v>
      </c>
      <c r="I207" s="43">
        <v>15</v>
      </c>
      <c r="J207" s="15">
        <v>46507</v>
      </c>
    </row>
    <row r="208" spans="1:10" x14ac:dyDescent="0.3">
      <c r="A208" s="14">
        <v>46150</v>
      </c>
      <c r="B208" s="7" t="s">
        <v>45</v>
      </c>
      <c r="C208" s="7" t="s">
        <v>46</v>
      </c>
      <c r="D208" s="7" t="s">
        <v>12</v>
      </c>
      <c r="E208" s="54">
        <v>0.39</v>
      </c>
      <c r="F208" s="54">
        <v>0.67</v>
      </c>
      <c r="G208" s="13">
        <v>18</v>
      </c>
      <c r="H208" s="13">
        <v>8</v>
      </c>
      <c r="I208" s="42">
        <v>20</v>
      </c>
      <c r="J208" s="15">
        <v>46643</v>
      </c>
    </row>
    <row r="209" spans="1:10" x14ac:dyDescent="0.3">
      <c r="A209" s="14">
        <v>46151</v>
      </c>
      <c r="B209" s="7" t="s">
        <v>25</v>
      </c>
      <c r="C209" s="7" t="s">
        <v>11</v>
      </c>
      <c r="D209" s="7" t="s">
        <v>12</v>
      </c>
      <c r="E209" s="55">
        <v>1.54</v>
      </c>
      <c r="F209" s="55">
        <v>2.5</v>
      </c>
      <c r="G209" s="13">
        <v>19</v>
      </c>
      <c r="H209" s="13">
        <v>20</v>
      </c>
      <c r="I209" s="43">
        <v>35</v>
      </c>
      <c r="J209" s="15">
        <v>47081</v>
      </c>
    </row>
    <row r="210" spans="1:10" x14ac:dyDescent="0.3">
      <c r="A210" s="14">
        <v>46152</v>
      </c>
      <c r="B210" s="7" t="s">
        <v>21</v>
      </c>
      <c r="C210" s="7" t="s">
        <v>22</v>
      </c>
      <c r="D210" s="7" t="s">
        <v>20</v>
      </c>
      <c r="E210" s="54">
        <v>1.76</v>
      </c>
      <c r="F210" s="54">
        <v>2.82</v>
      </c>
      <c r="G210" s="13">
        <v>13</v>
      </c>
      <c r="H210" s="13">
        <v>111</v>
      </c>
      <c r="I210" s="42">
        <v>35</v>
      </c>
      <c r="J210" s="15">
        <v>47049</v>
      </c>
    </row>
    <row r="211" spans="1:10" x14ac:dyDescent="0.3">
      <c r="A211" s="14">
        <v>46153</v>
      </c>
      <c r="B211" s="7" t="s">
        <v>25</v>
      </c>
      <c r="C211" s="7" t="s">
        <v>11</v>
      </c>
      <c r="D211" s="7" t="s">
        <v>15</v>
      </c>
      <c r="E211" s="55">
        <v>1.54</v>
      </c>
      <c r="F211" s="55">
        <v>2.5</v>
      </c>
      <c r="G211" s="13">
        <v>19</v>
      </c>
      <c r="H211" s="13">
        <v>54</v>
      </c>
      <c r="I211" s="43">
        <v>35</v>
      </c>
      <c r="J211" s="15">
        <v>46766</v>
      </c>
    </row>
    <row r="212" spans="1:10" x14ac:dyDescent="0.3">
      <c r="A212" s="14">
        <v>46153</v>
      </c>
      <c r="B212" s="7" t="s">
        <v>10</v>
      </c>
      <c r="C212" s="7" t="s">
        <v>11</v>
      </c>
      <c r="D212" s="7" t="s">
        <v>20</v>
      </c>
      <c r="E212" s="54">
        <v>1.85</v>
      </c>
      <c r="F212" s="54">
        <v>2.5099999999999998</v>
      </c>
      <c r="G212" s="13">
        <v>22</v>
      </c>
      <c r="H212" s="13">
        <v>61</v>
      </c>
      <c r="I212" s="42">
        <v>35</v>
      </c>
      <c r="J212" s="15">
        <v>46378</v>
      </c>
    </row>
    <row r="213" spans="1:10" x14ac:dyDescent="0.3">
      <c r="A213" s="14">
        <v>46154</v>
      </c>
      <c r="B213" s="7" t="s">
        <v>25</v>
      </c>
      <c r="C213" s="7" t="s">
        <v>11</v>
      </c>
      <c r="D213" s="7" t="s">
        <v>12</v>
      </c>
      <c r="E213" s="55">
        <v>1.54</v>
      </c>
      <c r="F213" s="55">
        <v>2.5</v>
      </c>
      <c r="G213" s="13">
        <v>22</v>
      </c>
      <c r="H213" s="13">
        <v>39</v>
      </c>
      <c r="I213" s="43">
        <v>35</v>
      </c>
      <c r="J213" s="15">
        <v>46608</v>
      </c>
    </row>
    <row r="214" spans="1:10" x14ac:dyDescent="0.3">
      <c r="A214" s="14">
        <v>46154</v>
      </c>
      <c r="B214" s="7" t="s">
        <v>16</v>
      </c>
      <c r="C214" s="7" t="s">
        <v>17</v>
      </c>
      <c r="D214" s="7" t="s">
        <v>26</v>
      </c>
      <c r="E214" s="54">
        <v>0.97</v>
      </c>
      <c r="F214" s="54">
        <v>1.61</v>
      </c>
      <c r="G214" s="13">
        <v>10</v>
      </c>
      <c r="H214" s="13">
        <v>63</v>
      </c>
      <c r="I214" s="42">
        <v>20</v>
      </c>
      <c r="J214" s="15">
        <v>46564</v>
      </c>
    </row>
    <row r="215" spans="1:10" x14ac:dyDescent="0.3">
      <c r="A215" s="14">
        <v>46155</v>
      </c>
      <c r="B215" s="7" t="s">
        <v>21</v>
      </c>
      <c r="C215" s="7" t="s">
        <v>22</v>
      </c>
      <c r="D215" s="7" t="s">
        <v>12</v>
      </c>
      <c r="E215" s="55">
        <v>1.76</v>
      </c>
      <c r="F215" s="55">
        <v>2.82</v>
      </c>
      <c r="G215" s="13">
        <v>30</v>
      </c>
      <c r="H215" s="13">
        <v>25</v>
      </c>
      <c r="I215" s="43">
        <v>35</v>
      </c>
      <c r="J215" s="15">
        <v>46470</v>
      </c>
    </row>
    <row r="216" spans="1:10" x14ac:dyDescent="0.3">
      <c r="A216" s="14">
        <v>46158</v>
      </c>
      <c r="B216" s="7" t="s">
        <v>47</v>
      </c>
      <c r="C216" s="7" t="s">
        <v>43</v>
      </c>
      <c r="D216" s="7" t="s">
        <v>12</v>
      </c>
      <c r="E216" s="54">
        <v>4.33</v>
      </c>
      <c r="F216" s="54">
        <v>7.26</v>
      </c>
      <c r="G216" s="13">
        <v>9</v>
      </c>
      <c r="H216" s="13">
        <v>23</v>
      </c>
      <c r="I216" s="42">
        <v>15</v>
      </c>
      <c r="J216" s="15">
        <v>46464</v>
      </c>
    </row>
    <row r="217" spans="1:10" x14ac:dyDescent="0.3">
      <c r="A217" s="14">
        <v>46159</v>
      </c>
      <c r="B217" s="7" t="s">
        <v>55</v>
      </c>
      <c r="C217" s="7" t="s">
        <v>41</v>
      </c>
      <c r="D217" s="7" t="s">
        <v>49</v>
      </c>
      <c r="E217" s="55">
        <v>2.25</v>
      </c>
      <c r="F217" s="55">
        <v>3.07</v>
      </c>
      <c r="G217" s="13">
        <v>8</v>
      </c>
      <c r="H217" s="13">
        <v>2</v>
      </c>
      <c r="I217" s="43">
        <v>15</v>
      </c>
      <c r="J217" s="15">
        <v>46562</v>
      </c>
    </row>
    <row r="218" spans="1:10" x14ac:dyDescent="0.3">
      <c r="A218" s="14">
        <v>46159</v>
      </c>
      <c r="B218" s="7" t="s">
        <v>45</v>
      </c>
      <c r="C218" s="7" t="s">
        <v>46</v>
      </c>
      <c r="D218" s="7" t="s">
        <v>49</v>
      </c>
      <c r="E218" s="54">
        <v>0.39</v>
      </c>
      <c r="F218" s="54">
        <v>0.67</v>
      </c>
      <c r="G218" s="13">
        <v>19</v>
      </c>
      <c r="H218" s="13">
        <v>38</v>
      </c>
      <c r="I218" s="42">
        <v>20</v>
      </c>
      <c r="J218" s="15">
        <v>47080</v>
      </c>
    </row>
    <row r="219" spans="1:10" x14ac:dyDescent="0.3">
      <c r="A219" s="14">
        <v>46160</v>
      </c>
      <c r="B219" s="7" t="s">
        <v>42</v>
      </c>
      <c r="C219" s="7" t="s">
        <v>43</v>
      </c>
      <c r="D219" s="7" t="s">
        <v>49</v>
      </c>
      <c r="E219" s="55">
        <v>1.95</v>
      </c>
      <c r="F219" s="55">
        <v>3.09</v>
      </c>
      <c r="G219" s="13">
        <v>7</v>
      </c>
      <c r="H219" s="13">
        <v>22</v>
      </c>
      <c r="I219" s="43">
        <v>35</v>
      </c>
      <c r="J219" s="15">
        <v>47106</v>
      </c>
    </row>
    <row r="220" spans="1:10" x14ac:dyDescent="0.3">
      <c r="A220" s="14">
        <v>46160</v>
      </c>
      <c r="B220" s="7" t="s">
        <v>39</v>
      </c>
      <c r="C220" s="7" t="s">
        <v>14</v>
      </c>
      <c r="D220" s="7" t="s">
        <v>12</v>
      </c>
      <c r="E220" s="54">
        <v>2.58</v>
      </c>
      <c r="F220" s="54">
        <v>4.3899999999999997</v>
      </c>
      <c r="G220" s="13">
        <v>12</v>
      </c>
      <c r="H220" s="13">
        <v>60</v>
      </c>
      <c r="I220" s="42">
        <v>35</v>
      </c>
      <c r="J220" s="15">
        <v>46510</v>
      </c>
    </row>
    <row r="221" spans="1:10" x14ac:dyDescent="0.3">
      <c r="A221" s="14">
        <v>46160</v>
      </c>
      <c r="B221" s="7" t="s">
        <v>50</v>
      </c>
      <c r="C221" s="7" t="s">
        <v>17</v>
      </c>
      <c r="D221" s="7" t="s">
        <v>26</v>
      </c>
      <c r="E221" s="55">
        <v>0.85</v>
      </c>
      <c r="F221" s="55">
        <v>1.1499999999999999</v>
      </c>
      <c r="G221" s="13">
        <v>29</v>
      </c>
      <c r="H221" s="13">
        <v>61</v>
      </c>
      <c r="I221" s="43">
        <v>20</v>
      </c>
      <c r="J221" s="15">
        <v>46435</v>
      </c>
    </row>
    <row r="222" spans="1:10" x14ac:dyDescent="0.3">
      <c r="A222" s="14">
        <v>46161</v>
      </c>
      <c r="B222" s="7" t="s">
        <v>48</v>
      </c>
      <c r="C222" s="7" t="s">
        <v>43</v>
      </c>
      <c r="D222" s="7" t="s">
        <v>15</v>
      </c>
      <c r="E222" s="54">
        <v>3.19</v>
      </c>
      <c r="F222" s="54">
        <v>4.88</v>
      </c>
      <c r="G222" s="13">
        <v>10</v>
      </c>
      <c r="H222" s="13">
        <v>50</v>
      </c>
      <c r="I222" s="42">
        <v>20</v>
      </c>
      <c r="J222" s="15">
        <v>46338</v>
      </c>
    </row>
    <row r="223" spans="1:10" x14ac:dyDescent="0.3">
      <c r="A223" s="14">
        <v>46161</v>
      </c>
      <c r="B223" s="7" t="s">
        <v>45</v>
      </c>
      <c r="C223" s="7" t="s">
        <v>46</v>
      </c>
      <c r="D223" s="7" t="s">
        <v>34</v>
      </c>
      <c r="E223" s="55">
        <v>0.39</v>
      </c>
      <c r="F223" s="55">
        <v>0.67</v>
      </c>
      <c r="G223" s="13">
        <v>9</v>
      </c>
      <c r="H223" s="13">
        <v>56</v>
      </c>
      <c r="I223" s="43">
        <v>20</v>
      </c>
      <c r="J223" s="15">
        <v>47027</v>
      </c>
    </row>
    <row r="224" spans="1:10" x14ac:dyDescent="0.3">
      <c r="A224" s="14">
        <v>46161</v>
      </c>
      <c r="B224" s="7" t="s">
        <v>53</v>
      </c>
      <c r="C224" s="7" t="s">
        <v>30</v>
      </c>
      <c r="D224" s="7" t="s">
        <v>20</v>
      </c>
      <c r="E224" s="54">
        <v>1.04</v>
      </c>
      <c r="F224" s="54">
        <v>1.58</v>
      </c>
      <c r="G224" s="13">
        <v>24</v>
      </c>
      <c r="H224" s="13">
        <v>57</v>
      </c>
      <c r="I224" s="42">
        <v>20</v>
      </c>
      <c r="J224" s="15">
        <v>46580</v>
      </c>
    </row>
    <row r="225" spans="1:10" x14ac:dyDescent="0.3">
      <c r="A225" s="14">
        <v>46162</v>
      </c>
      <c r="B225" s="7" t="s">
        <v>21</v>
      </c>
      <c r="C225" s="7" t="s">
        <v>22</v>
      </c>
      <c r="D225" s="7" t="s">
        <v>26</v>
      </c>
      <c r="E225" s="55">
        <v>1.76</v>
      </c>
      <c r="F225" s="55">
        <v>2.82</v>
      </c>
      <c r="G225" s="13">
        <v>26</v>
      </c>
      <c r="H225" s="13">
        <v>116</v>
      </c>
      <c r="I225" s="43">
        <v>35</v>
      </c>
      <c r="J225" s="15">
        <v>46919</v>
      </c>
    </row>
    <row r="226" spans="1:10" x14ac:dyDescent="0.3">
      <c r="A226" s="14">
        <v>46162</v>
      </c>
      <c r="B226" s="7" t="s">
        <v>33</v>
      </c>
      <c r="C226" s="7" t="s">
        <v>11</v>
      </c>
      <c r="D226" s="7" t="s">
        <v>34</v>
      </c>
      <c r="E226" s="54">
        <v>1.1599999999999999</v>
      </c>
      <c r="F226" s="54">
        <v>2.02</v>
      </c>
      <c r="G226" s="13">
        <v>20</v>
      </c>
      <c r="H226" s="13">
        <v>87</v>
      </c>
      <c r="I226" s="42">
        <v>35</v>
      </c>
      <c r="J226" s="15">
        <v>46886</v>
      </c>
    </row>
    <row r="227" spans="1:10" x14ac:dyDescent="0.3">
      <c r="A227" s="14">
        <v>46162</v>
      </c>
      <c r="B227" s="7" t="s">
        <v>23</v>
      </c>
      <c r="C227" s="7" t="s">
        <v>24</v>
      </c>
      <c r="D227" s="7" t="s">
        <v>26</v>
      </c>
      <c r="E227" s="55">
        <v>3.03</v>
      </c>
      <c r="F227" s="55">
        <v>4.37</v>
      </c>
      <c r="G227" s="13">
        <v>4</v>
      </c>
      <c r="H227" s="13">
        <v>11</v>
      </c>
      <c r="I227" s="43">
        <v>15</v>
      </c>
      <c r="J227" s="15">
        <v>46409</v>
      </c>
    </row>
    <row r="228" spans="1:10" x14ac:dyDescent="0.3">
      <c r="A228" s="14">
        <v>46163</v>
      </c>
      <c r="B228" s="7" t="s">
        <v>51</v>
      </c>
      <c r="C228" s="7" t="s">
        <v>28</v>
      </c>
      <c r="D228" s="7" t="s">
        <v>49</v>
      </c>
      <c r="E228" s="54">
        <v>3.42</v>
      </c>
      <c r="F228" s="54">
        <v>5.27</v>
      </c>
      <c r="G228" s="13">
        <v>23</v>
      </c>
      <c r="H228" s="13">
        <v>59</v>
      </c>
      <c r="I228" s="42">
        <v>35</v>
      </c>
      <c r="J228" s="15">
        <v>46326</v>
      </c>
    </row>
    <row r="229" spans="1:10" x14ac:dyDescent="0.3">
      <c r="A229" s="14">
        <v>46163</v>
      </c>
      <c r="B229" s="7" t="s">
        <v>10</v>
      </c>
      <c r="C229" s="7" t="s">
        <v>11</v>
      </c>
      <c r="D229" s="7" t="s">
        <v>15</v>
      </c>
      <c r="E229" s="55">
        <v>1.85</v>
      </c>
      <c r="F229" s="55">
        <v>2.5099999999999998</v>
      </c>
      <c r="G229" s="13">
        <v>15</v>
      </c>
      <c r="H229" s="13">
        <v>26</v>
      </c>
      <c r="I229" s="43">
        <v>35</v>
      </c>
      <c r="J229" s="15">
        <v>46904</v>
      </c>
    </row>
    <row r="230" spans="1:10" x14ac:dyDescent="0.3">
      <c r="A230" s="14">
        <v>46164</v>
      </c>
      <c r="B230" s="7" t="s">
        <v>25</v>
      </c>
      <c r="C230" s="7" t="s">
        <v>11</v>
      </c>
      <c r="D230" s="7" t="s">
        <v>26</v>
      </c>
      <c r="E230" s="54">
        <v>1.54</v>
      </c>
      <c r="F230" s="54">
        <v>2.5</v>
      </c>
      <c r="G230" s="13">
        <v>20</v>
      </c>
      <c r="H230" s="13">
        <v>36</v>
      </c>
      <c r="I230" s="42">
        <v>35</v>
      </c>
      <c r="J230" s="15">
        <v>46619</v>
      </c>
    </row>
    <row r="231" spans="1:10" x14ac:dyDescent="0.3">
      <c r="A231" s="14">
        <v>46164</v>
      </c>
      <c r="B231" s="7" t="s">
        <v>10</v>
      </c>
      <c r="C231" s="7" t="s">
        <v>11</v>
      </c>
      <c r="D231" s="7" t="s">
        <v>20</v>
      </c>
      <c r="E231" s="55">
        <v>1.85</v>
      </c>
      <c r="F231" s="55">
        <v>2.5099999999999998</v>
      </c>
      <c r="G231" s="13">
        <v>24</v>
      </c>
      <c r="H231" s="13">
        <v>121</v>
      </c>
      <c r="I231" s="43">
        <v>35</v>
      </c>
      <c r="J231" s="15">
        <v>46441</v>
      </c>
    </row>
    <row r="232" spans="1:10" x14ac:dyDescent="0.3">
      <c r="A232" s="14">
        <v>46165</v>
      </c>
      <c r="B232" s="7" t="s">
        <v>50</v>
      </c>
      <c r="C232" s="7" t="s">
        <v>17</v>
      </c>
      <c r="D232" s="7" t="s">
        <v>34</v>
      </c>
      <c r="E232" s="54">
        <v>0.85</v>
      </c>
      <c r="F232" s="54">
        <v>1.1499999999999999</v>
      </c>
      <c r="G232" s="13">
        <v>34</v>
      </c>
      <c r="H232" s="13">
        <v>61</v>
      </c>
      <c r="I232" s="42">
        <v>20</v>
      </c>
      <c r="J232" s="15">
        <v>47005</v>
      </c>
    </row>
    <row r="233" spans="1:10" x14ac:dyDescent="0.3">
      <c r="A233" s="14">
        <v>46165</v>
      </c>
      <c r="B233" s="7" t="s">
        <v>48</v>
      </c>
      <c r="C233" s="7" t="s">
        <v>43</v>
      </c>
      <c r="D233" s="7" t="s">
        <v>49</v>
      </c>
      <c r="E233" s="55">
        <v>3.19</v>
      </c>
      <c r="F233" s="55">
        <v>4.88</v>
      </c>
      <c r="G233" s="13">
        <v>6</v>
      </c>
      <c r="H233" s="13">
        <v>54</v>
      </c>
      <c r="I233" s="43">
        <v>20</v>
      </c>
      <c r="J233" s="15">
        <v>46866</v>
      </c>
    </row>
    <row r="234" spans="1:10" x14ac:dyDescent="0.3">
      <c r="A234" s="14">
        <v>46165</v>
      </c>
      <c r="B234" s="7" t="s">
        <v>54</v>
      </c>
      <c r="C234" s="7" t="s">
        <v>36</v>
      </c>
      <c r="D234" s="7" t="s">
        <v>15</v>
      </c>
      <c r="E234" s="54">
        <v>1.0900000000000001</v>
      </c>
      <c r="F234" s="54">
        <v>1.77</v>
      </c>
      <c r="G234" s="13">
        <v>20</v>
      </c>
      <c r="H234" s="13">
        <v>83</v>
      </c>
      <c r="I234" s="42">
        <v>35</v>
      </c>
      <c r="J234" s="15">
        <v>46606</v>
      </c>
    </row>
    <row r="235" spans="1:10" x14ac:dyDescent="0.3">
      <c r="A235" s="14">
        <v>46165</v>
      </c>
      <c r="B235" s="7" t="s">
        <v>18</v>
      </c>
      <c r="C235" s="7" t="s">
        <v>19</v>
      </c>
      <c r="D235" s="7" t="s">
        <v>15</v>
      </c>
      <c r="E235" s="55">
        <v>1.57</v>
      </c>
      <c r="F235" s="55">
        <v>2.2999999999999998</v>
      </c>
      <c r="G235" s="13">
        <v>8</v>
      </c>
      <c r="H235" s="13">
        <v>16</v>
      </c>
      <c r="I235" s="43">
        <v>20</v>
      </c>
      <c r="J235" s="15">
        <v>46771</v>
      </c>
    </row>
    <row r="236" spans="1:10" x14ac:dyDescent="0.3">
      <c r="A236" s="14">
        <v>46165</v>
      </c>
      <c r="B236" s="7" t="s">
        <v>25</v>
      </c>
      <c r="C236" s="7" t="s">
        <v>11</v>
      </c>
      <c r="D236" s="7" t="s">
        <v>49</v>
      </c>
      <c r="E236" s="54">
        <v>1.54</v>
      </c>
      <c r="F236" s="54">
        <v>2.5</v>
      </c>
      <c r="G236" s="13">
        <v>10</v>
      </c>
      <c r="H236" s="13">
        <v>66</v>
      </c>
      <c r="I236" s="42">
        <v>35</v>
      </c>
      <c r="J236" s="15">
        <v>46799</v>
      </c>
    </row>
    <row r="237" spans="1:10" x14ac:dyDescent="0.3">
      <c r="A237" s="14">
        <v>46166</v>
      </c>
      <c r="B237" s="7" t="s">
        <v>40</v>
      </c>
      <c r="C237" s="7" t="s">
        <v>41</v>
      </c>
      <c r="D237" s="7" t="s">
        <v>49</v>
      </c>
      <c r="E237" s="55">
        <v>1.81</v>
      </c>
      <c r="F237" s="55">
        <v>3.15</v>
      </c>
      <c r="G237" s="13">
        <v>10</v>
      </c>
      <c r="H237" s="13">
        <v>24</v>
      </c>
      <c r="I237" s="43">
        <v>15</v>
      </c>
      <c r="J237" s="15">
        <v>46434</v>
      </c>
    </row>
    <row r="238" spans="1:10" x14ac:dyDescent="0.3">
      <c r="A238" s="14">
        <v>46167</v>
      </c>
      <c r="B238" s="7" t="s">
        <v>25</v>
      </c>
      <c r="C238" s="7" t="s">
        <v>11</v>
      </c>
      <c r="D238" s="7" t="s">
        <v>15</v>
      </c>
      <c r="E238" s="54">
        <v>1.54</v>
      </c>
      <c r="F238" s="54">
        <v>2.5</v>
      </c>
      <c r="G238" s="13">
        <v>24</v>
      </c>
      <c r="H238" s="13">
        <v>55</v>
      </c>
      <c r="I238" s="42">
        <v>35</v>
      </c>
      <c r="J238" s="15">
        <v>47117</v>
      </c>
    </row>
    <row r="239" spans="1:10" x14ac:dyDescent="0.3">
      <c r="A239" s="14">
        <v>46167</v>
      </c>
      <c r="B239" s="7" t="s">
        <v>38</v>
      </c>
      <c r="C239" s="7" t="s">
        <v>28</v>
      </c>
      <c r="D239" s="7" t="s">
        <v>20</v>
      </c>
      <c r="E239" s="55">
        <v>4.24</v>
      </c>
      <c r="F239" s="55">
        <v>7.38</v>
      </c>
      <c r="G239" s="13">
        <v>16</v>
      </c>
      <c r="H239" s="13">
        <v>22</v>
      </c>
      <c r="I239" s="43">
        <v>20</v>
      </c>
      <c r="J239" s="15">
        <v>46475</v>
      </c>
    </row>
    <row r="240" spans="1:10" x14ac:dyDescent="0.3">
      <c r="A240" s="14">
        <v>46167</v>
      </c>
      <c r="B240" s="7" t="s">
        <v>44</v>
      </c>
      <c r="C240" s="7" t="s">
        <v>36</v>
      </c>
      <c r="D240" s="7" t="s">
        <v>26</v>
      </c>
      <c r="E240" s="54">
        <v>1.48</v>
      </c>
      <c r="F240" s="54">
        <v>2.2599999999999998</v>
      </c>
      <c r="G240" s="13">
        <v>24</v>
      </c>
      <c r="H240" s="13">
        <v>8</v>
      </c>
      <c r="I240" s="42">
        <v>20</v>
      </c>
      <c r="J240" s="15">
        <v>46792</v>
      </c>
    </row>
    <row r="241" spans="1:10" x14ac:dyDescent="0.3">
      <c r="A241" s="14">
        <v>46168</v>
      </c>
      <c r="B241" s="7" t="s">
        <v>18</v>
      </c>
      <c r="C241" s="7" t="s">
        <v>19</v>
      </c>
      <c r="D241" s="7" t="s">
        <v>26</v>
      </c>
      <c r="E241" s="55">
        <v>1.57</v>
      </c>
      <c r="F241" s="55">
        <v>2.2999999999999998</v>
      </c>
      <c r="G241" s="13">
        <v>16</v>
      </c>
      <c r="H241" s="13">
        <v>43</v>
      </c>
      <c r="I241" s="43">
        <v>20</v>
      </c>
      <c r="J241" s="15">
        <v>46775</v>
      </c>
    </row>
    <row r="242" spans="1:10" x14ac:dyDescent="0.3">
      <c r="A242" s="14">
        <v>46169</v>
      </c>
      <c r="B242" s="7" t="s">
        <v>47</v>
      </c>
      <c r="C242" s="7" t="s">
        <v>43</v>
      </c>
      <c r="D242" s="7" t="s">
        <v>31</v>
      </c>
      <c r="E242" s="54">
        <v>4.33</v>
      </c>
      <c r="F242" s="54">
        <v>7.26</v>
      </c>
      <c r="G242" s="13">
        <v>5</v>
      </c>
      <c r="H242" s="13">
        <v>10</v>
      </c>
      <c r="I242" s="42">
        <v>15</v>
      </c>
      <c r="J242" s="15">
        <v>46928</v>
      </c>
    </row>
    <row r="243" spans="1:10" x14ac:dyDescent="0.3">
      <c r="A243" s="14">
        <v>46170</v>
      </c>
      <c r="B243" s="7" t="s">
        <v>57</v>
      </c>
      <c r="C243" s="7" t="s">
        <v>19</v>
      </c>
      <c r="D243" s="7" t="s">
        <v>31</v>
      </c>
      <c r="E243" s="55">
        <v>1.23</v>
      </c>
      <c r="F243" s="55">
        <v>1.93</v>
      </c>
      <c r="G243" s="13">
        <v>9</v>
      </c>
      <c r="H243" s="13">
        <v>37</v>
      </c>
      <c r="I243" s="43">
        <v>15</v>
      </c>
      <c r="J243" s="15">
        <v>46426</v>
      </c>
    </row>
    <row r="244" spans="1:10" x14ac:dyDescent="0.3">
      <c r="A244" s="14">
        <v>46170</v>
      </c>
      <c r="B244" s="7" t="s">
        <v>52</v>
      </c>
      <c r="C244" s="7" t="s">
        <v>14</v>
      </c>
      <c r="D244" s="7" t="s">
        <v>15</v>
      </c>
      <c r="E244" s="54">
        <v>1.89</v>
      </c>
      <c r="F244" s="54">
        <v>3.03</v>
      </c>
      <c r="G244" s="13">
        <v>23</v>
      </c>
      <c r="H244" s="13">
        <v>121</v>
      </c>
      <c r="I244" s="42">
        <v>35</v>
      </c>
      <c r="J244" s="15">
        <v>46456</v>
      </c>
    </row>
    <row r="245" spans="1:10" x14ac:dyDescent="0.3">
      <c r="A245" s="14">
        <v>46171</v>
      </c>
      <c r="B245" s="7" t="s">
        <v>47</v>
      </c>
      <c r="C245" s="7" t="s">
        <v>43</v>
      </c>
      <c r="D245" s="7" t="s">
        <v>15</v>
      </c>
      <c r="E245" s="55">
        <v>4.33</v>
      </c>
      <c r="F245" s="55">
        <v>7.26</v>
      </c>
      <c r="G245" s="13">
        <v>11</v>
      </c>
      <c r="H245" s="13">
        <v>11</v>
      </c>
      <c r="I245" s="43">
        <v>15</v>
      </c>
      <c r="J245" s="15">
        <v>46961</v>
      </c>
    </row>
    <row r="246" spans="1:10" x14ac:dyDescent="0.3">
      <c r="A246" s="14">
        <v>46171</v>
      </c>
      <c r="B246" s="7" t="s">
        <v>16</v>
      </c>
      <c r="C246" s="7" t="s">
        <v>17</v>
      </c>
      <c r="D246" s="7" t="s">
        <v>20</v>
      </c>
      <c r="E246" s="54">
        <v>0.97</v>
      </c>
      <c r="F246" s="54">
        <v>1.61</v>
      </c>
      <c r="G246" s="13">
        <v>15</v>
      </c>
      <c r="H246" s="13">
        <v>61</v>
      </c>
      <c r="I246" s="42">
        <v>20</v>
      </c>
      <c r="J246" s="15">
        <v>46702</v>
      </c>
    </row>
    <row r="247" spans="1:10" x14ac:dyDescent="0.3">
      <c r="A247" s="14">
        <v>46171</v>
      </c>
      <c r="B247" s="7" t="s">
        <v>29</v>
      </c>
      <c r="C247" s="7" t="s">
        <v>30</v>
      </c>
      <c r="D247" s="7" t="s">
        <v>26</v>
      </c>
      <c r="E247" s="55">
        <v>2.89</v>
      </c>
      <c r="F247" s="55">
        <v>4.4400000000000004</v>
      </c>
      <c r="G247" s="13">
        <v>21</v>
      </c>
      <c r="H247" s="13">
        <v>40</v>
      </c>
      <c r="I247" s="43">
        <v>20</v>
      </c>
      <c r="J247" s="15">
        <v>46514</v>
      </c>
    </row>
    <row r="248" spans="1:10" x14ac:dyDescent="0.3">
      <c r="A248" s="14">
        <v>46171</v>
      </c>
      <c r="B248" s="7" t="s">
        <v>47</v>
      </c>
      <c r="C248" s="7" t="s">
        <v>43</v>
      </c>
      <c r="D248" s="7" t="s">
        <v>15</v>
      </c>
      <c r="E248" s="54">
        <v>4.33</v>
      </c>
      <c r="F248" s="54">
        <v>7.26</v>
      </c>
      <c r="G248" s="13">
        <v>12</v>
      </c>
      <c r="H248" s="13">
        <v>20</v>
      </c>
      <c r="I248" s="42">
        <v>15</v>
      </c>
      <c r="J248" s="15">
        <v>46735</v>
      </c>
    </row>
    <row r="249" spans="1:10" x14ac:dyDescent="0.3">
      <c r="A249" s="14">
        <v>46171</v>
      </c>
      <c r="B249" s="7" t="s">
        <v>33</v>
      </c>
      <c r="C249" s="7" t="s">
        <v>11</v>
      </c>
      <c r="D249" s="7" t="s">
        <v>49</v>
      </c>
      <c r="E249" s="55">
        <v>1.1599999999999999</v>
      </c>
      <c r="F249" s="55">
        <v>2.02</v>
      </c>
      <c r="G249" s="13">
        <v>19</v>
      </c>
      <c r="H249" s="13">
        <v>159</v>
      </c>
      <c r="I249" s="43">
        <v>35</v>
      </c>
      <c r="J249" s="15">
        <v>47031</v>
      </c>
    </row>
    <row r="250" spans="1:10" x14ac:dyDescent="0.3">
      <c r="A250" s="14">
        <v>46172</v>
      </c>
      <c r="B250" s="7" t="s">
        <v>27</v>
      </c>
      <c r="C250" s="7" t="s">
        <v>28</v>
      </c>
      <c r="D250" s="7" t="s">
        <v>31</v>
      </c>
      <c r="E250" s="54">
        <v>3.92</v>
      </c>
      <c r="F250" s="54">
        <v>5.92</v>
      </c>
      <c r="G250" s="13">
        <v>12</v>
      </c>
      <c r="H250" s="13">
        <v>29</v>
      </c>
      <c r="I250" s="42">
        <v>15</v>
      </c>
      <c r="J250" s="15">
        <v>47067</v>
      </c>
    </row>
    <row r="251" spans="1:10" x14ac:dyDescent="0.3">
      <c r="A251" s="14">
        <v>46173</v>
      </c>
      <c r="B251" s="7" t="s">
        <v>25</v>
      </c>
      <c r="C251" s="7" t="s">
        <v>11</v>
      </c>
      <c r="D251" s="7" t="s">
        <v>34</v>
      </c>
      <c r="E251" s="55">
        <v>1.54</v>
      </c>
      <c r="F251" s="55">
        <v>2.5</v>
      </c>
      <c r="G251" s="13">
        <v>9</v>
      </c>
      <c r="H251" s="13">
        <v>53</v>
      </c>
      <c r="I251" s="43">
        <v>35</v>
      </c>
      <c r="J251" s="15">
        <v>46869</v>
      </c>
    </row>
    <row r="252" spans="1:10" x14ac:dyDescent="0.3">
      <c r="A252" s="14">
        <v>46174</v>
      </c>
      <c r="B252" s="7" t="s">
        <v>48</v>
      </c>
      <c r="C252" s="7" t="s">
        <v>43</v>
      </c>
      <c r="D252" s="7" t="s">
        <v>31</v>
      </c>
      <c r="E252" s="54">
        <v>3.19</v>
      </c>
      <c r="F252" s="54">
        <v>4.88</v>
      </c>
      <c r="G252" s="13">
        <v>13</v>
      </c>
      <c r="H252" s="13">
        <v>42</v>
      </c>
      <c r="I252" s="42">
        <v>20</v>
      </c>
      <c r="J252" s="15">
        <v>47103</v>
      </c>
    </row>
    <row r="253" spans="1:10" x14ac:dyDescent="0.3">
      <c r="A253" s="14">
        <v>46175</v>
      </c>
      <c r="B253" s="7" t="s">
        <v>23</v>
      </c>
      <c r="C253" s="7" t="s">
        <v>24</v>
      </c>
      <c r="D253" s="7" t="s">
        <v>34</v>
      </c>
      <c r="E253" s="55">
        <v>3.03</v>
      </c>
      <c r="F253" s="55">
        <v>4.37</v>
      </c>
      <c r="G253" s="13">
        <v>3</v>
      </c>
      <c r="H253" s="13">
        <v>13</v>
      </c>
      <c r="I253" s="43">
        <v>15</v>
      </c>
      <c r="J253" s="15">
        <v>46446</v>
      </c>
    </row>
    <row r="254" spans="1:10" x14ac:dyDescent="0.3">
      <c r="A254" s="14">
        <v>46177</v>
      </c>
      <c r="B254" s="7" t="s">
        <v>25</v>
      </c>
      <c r="C254" s="7" t="s">
        <v>11</v>
      </c>
      <c r="D254" s="7" t="s">
        <v>31</v>
      </c>
      <c r="E254" s="54">
        <v>1.54</v>
      </c>
      <c r="F254" s="54">
        <v>2.5</v>
      </c>
      <c r="G254" s="13">
        <v>17</v>
      </c>
      <c r="H254" s="13">
        <v>33</v>
      </c>
      <c r="I254" s="42">
        <v>35</v>
      </c>
      <c r="J254" s="15">
        <v>46688</v>
      </c>
    </row>
    <row r="255" spans="1:10" x14ac:dyDescent="0.3">
      <c r="A255" s="14">
        <v>46177</v>
      </c>
      <c r="B255" s="7" t="s">
        <v>51</v>
      </c>
      <c r="C255" s="7" t="s">
        <v>28</v>
      </c>
      <c r="D255" s="7" t="s">
        <v>49</v>
      </c>
      <c r="E255" s="55">
        <v>3.42</v>
      </c>
      <c r="F255" s="55">
        <v>5.27</v>
      </c>
      <c r="G255" s="13">
        <v>17</v>
      </c>
      <c r="H255" s="13">
        <v>92</v>
      </c>
      <c r="I255" s="43">
        <v>35</v>
      </c>
      <c r="J255" s="15">
        <v>46683</v>
      </c>
    </row>
    <row r="256" spans="1:10" x14ac:dyDescent="0.3">
      <c r="A256" s="14">
        <v>46177</v>
      </c>
      <c r="B256" s="7" t="s">
        <v>10</v>
      </c>
      <c r="C256" s="7" t="s">
        <v>11</v>
      </c>
      <c r="D256" s="7" t="s">
        <v>26</v>
      </c>
      <c r="E256" s="54">
        <v>1.85</v>
      </c>
      <c r="F256" s="54">
        <v>2.5099999999999998</v>
      </c>
      <c r="G256" s="13">
        <v>16</v>
      </c>
      <c r="H256" s="13">
        <v>58</v>
      </c>
      <c r="I256" s="42">
        <v>35</v>
      </c>
      <c r="J256" s="15">
        <v>46626</v>
      </c>
    </row>
    <row r="257" spans="1:10" x14ac:dyDescent="0.3">
      <c r="A257" s="14">
        <v>46178</v>
      </c>
      <c r="B257" s="7" t="s">
        <v>50</v>
      </c>
      <c r="C257" s="7" t="s">
        <v>17</v>
      </c>
      <c r="D257" s="7" t="s">
        <v>20</v>
      </c>
      <c r="E257" s="55">
        <v>0.85</v>
      </c>
      <c r="F257" s="55">
        <v>1.1499999999999999</v>
      </c>
      <c r="G257" s="13">
        <v>29</v>
      </c>
      <c r="H257" s="13">
        <v>71</v>
      </c>
      <c r="I257" s="43">
        <v>20</v>
      </c>
      <c r="J257" s="15">
        <v>46460</v>
      </c>
    </row>
    <row r="258" spans="1:10" x14ac:dyDescent="0.3">
      <c r="A258" s="14">
        <v>46178</v>
      </c>
      <c r="B258" s="7" t="s">
        <v>37</v>
      </c>
      <c r="C258" s="7" t="s">
        <v>24</v>
      </c>
      <c r="D258" s="7" t="s">
        <v>26</v>
      </c>
      <c r="E258" s="54">
        <v>2.39</v>
      </c>
      <c r="F258" s="54">
        <v>3.89</v>
      </c>
      <c r="G258" s="13">
        <v>11</v>
      </c>
      <c r="H258" s="13">
        <v>32</v>
      </c>
      <c r="I258" s="42">
        <v>35</v>
      </c>
      <c r="J258" s="15">
        <v>46638</v>
      </c>
    </row>
    <row r="259" spans="1:10" x14ac:dyDescent="0.3">
      <c r="A259" s="14">
        <v>46178</v>
      </c>
      <c r="B259" s="7" t="s">
        <v>32</v>
      </c>
      <c r="C259" s="7" t="s">
        <v>22</v>
      </c>
      <c r="D259" s="7" t="s">
        <v>49</v>
      </c>
      <c r="E259" s="55">
        <v>2.17</v>
      </c>
      <c r="F259" s="55">
        <v>3.39</v>
      </c>
      <c r="G259" s="13">
        <v>9</v>
      </c>
      <c r="H259" s="13">
        <v>21</v>
      </c>
      <c r="I259" s="43">
        <v>15</v>
      </c>
      <c r="J259" s="15">
        <v>46886</v>
      </c>
    </row>
    <row r="260" spans="1:10" x14ac:dyDescent="0.3">
      <c r="A260" s="14">
        <v>46180</v>
      </c>
      <c r="B260" s="7" t="s">
        <v>13</v>
      </c>
      <c r="C260" s="7" t="s">
        <v>14</v>
      </c>
      <c r="D260" s="7" t="s">
        <v>34</v>
      </c>
      <c r="E260" s="54">
        <v>1.1499999999999999</v>
      </c>
      <c r="F260" s="54">
        <v>1.95</v>
      </c>
      <c r="G260" s="13">
        <v>9</v>
      </c>
      <c r="H260" s="13">
        <v>14</v>
      </c>
      <c r="I260" s="42">
        <v>15</v>
      </c>
      <c r="J260" s="15">
        <v>46961</v>
      </c>
    </row>
    <row r="261" spans="1:10" x14ac:dyDescent="0.3">
      <c r="A261" s="14">
        <v>46182</v>
      </c>
      <c r="B261" s="7" t="s">
        <v>51</v>
      </c>
      <c r="C261" s="7" t="s">
        <v>28</v>
      </c>
      <c r="D261" s="7" t="s">
        <v>20</v>
      </c>
      <c r="E261" s="55">
        <v>3.42</v>
      </c>
      <c r="F261" s="55">
        <v>5.27</v>
      </c>
      <c r="G261" s="13">
        <v>29</v>
      </c>
      <c r="H261" s="13">
        <v>61</v>
      </c>
      <c r="I261" s="43">
        <v>35</v>
      </c>
      <c r="J261" s="15">
        <v>46484</v>
      </c>
    </row>
    <row r="262" spans="1:10" x14ac:dyDescent="0.3">
      <c r="A262" s="14">
        <v>46184</v>
      </c>
      <c r="B262" s="7" t="s">
        <v>21</v>
      </c>
      <c r="C262" s="7" t="s">
        <v>22</v>
      </c>
      <c r="D262" s="7" t="s">
        <v>31</v>
      </c>
      <c r="E262" s="54">
        <v>1.76</v>
      </c>
      <c r="F262" s="54">
        <v>2.82</v>
      </c>
      <c r="G262" s="13">
        <v>20</v>
      </c>
      <c r="H262" s="13">
        <v>65</v>
      </c>
      <c r="I262" s="42">
        <v>35</v>
      </c>
      <c r="J262" s="15">
        <v>46722</v>
      </c>
    </row>
    <row r="263" spans="1:10" x14ac:dyDescent="0.3">
      <c r="A263" s="14">
        <v>46184</v>
      </c>
      <c r="B263" s="7" t="s">
        <v>50</v>
      </c>
      <c r="C263" s="7" t="s">
        <v>17</v>
      </c>
      <c r="D263" s="7" t="s">
        <v>34</v>
      </c>
      <c r="E263" s="55">
        <v>0.85</v>
      </c>
      <c r="F263" s="55">
        <v>1.1499999999999999</v>
      </c>
      <c r="G263" s="13">
        <v>23</v>
      </c>
      <c r="H263" s="13">
        <v>93</v>
      </c>
      <c r="I263" s="43">
        <v>20</v>
      </c>
      <c r="J263" s="15">
        <v>46872</v>
      </c>
    </row>
    <row r="264" spans="1:10" x14ac:dyDescent="0.3">
      <c r="A264" s="14">
        <v>46185</v>
      </c>
      <c r="B264" s="7" t="s">
        <v>21</v>
      </c>
      <c r="C264" s="7" t="s">
        <v>22</v>
      </c>
      <c r="D264" s="7" t="s">
        <v>26</v>
      </c>
      <c r="E264" s="54">
        <v>1.76</v>
      </c>
      <c r="F264" s="54">
        <v>2.82</v>
      </c>
      <c r="G264" s="13">
        <v>12</v>
      </c>
      <c r="H264" s="13">
        <v>103</v>
      </c>
      <c r="I264" s="42">
        <v>35</v>
      </c>
      <c r="J264" s="15">
        <v>46582</v>
      </c>
    </row>
    <row r="265" spans="1:10" x14ac:dyDescent="0.3">
      <c r="A265" s="14">
        <v>46185</v>
      </c>
      <c r="B265" s="7" t="s">
        <v>29</v>
      </c>
      <c r="C265" s="7" t="s">
        <v>30</v>
      </c>
      <c r="D265" s="7" t="s">
        <v>26</v>
      </c>
      <c r="E265" s="55">
        <v>2.89</v>
      </c>
      <c r="F265" s="55">
        <v>4.4400000000000004</v>
      </c>
      <c r="G265" s="13">
        <v>11</v>
      </c>
      <c r="H265" s="13">
        <v>45</v>
      </c>
      <c r="I265" s="43">
        <v>20</v>
      </c>
      <c r="J265" s="15">
        <v>46436</v>
      </c>
    </row>
    <row r="266" spans="1:10" x14ac:dyDescent="0.3">
      <c r="A266" s="14">
        <v>46185</v>
      </c>
      <c r="B266" s="7" t="s">
        <v>37</v>
      </c>
      <c r="C266" s="7" t="s">
        <v>24</v>
      </c>
      <c r="D266" s="7" t="s">
        <v>15</v>
      </c>
      <c r="E266" s="54">
        <v>2.39</v>
      </c>
      <c r="F266" s="54">
        <v>3.89</v>
      </c>
      <c r="G266" s="13">
        <v>8</v>
      </c>
      <c r="H266" s="13">
        <v>50</v>
      </c>
      <c r="I266" s="42">
        <v>35</v>
      </c>
      <c r="J266" s="15">
        <v>46758</v>
      </c>
    </row>
    <row r="267" spans="1:10" x14ac:dyDescent="0.3">
      <c r="A267" s="14">
        <v>46185</v>
      </c>
      <c r="B267" s="7" t="s">
        <v>39</v>
      </c>
      <c r="C267" s="7" t="s">
        <v>14</v>
      </c>
      <c r="D267" s="7" t="s">
        <v>31</v>
      </c>
      <c r="E267" s="55">
        <v>2.58</v>
      </c>
      <c r="F267" s="55">
        <v>4.3899999999999997</v>
      </c>
      <c r="G267" s="13">
        <v>13</v>
      </c>
      <c r="H267" s="13">
        <v>70</v>
      </c>
      <c r="I267" s="43">
        <v>35</v>
      </c>
      <c r="J267" s="15">
        <v>46962</v>
      </c>
    </row>
    <row r="268" spans="1:10" x14ac:dyDescent="0.3">
      <c r="A268" s="14">
        <v>46185</v>
      </c>
      <c r="B268" s="7" t="s">
        <v>40</v>
      </c>
      <c r="C268" s="7" t="s">
        <v>41</v>
      </c>
      <c r="D268" s="7" t="s">
        <v>49</v>
      </c>
      <c r="E268" s="54">
        <v>1.81</v>
      </c>
      <c r="F268" s="54">
        <v>3.15</v>
      </c>
      <c r="G268" s="13">
        <v>7</v>
      </c>
      <c r="H268" s="13">
        <v>6</v>
      </c>
      <c r="I268" s="42">
        <v>15</v>
      </c>
      <c r="J268" s="15">
        <v>46682</v>
      </c>
    </row>
    <row r="269" spans="1:10" x14ac:dyDescent="0.3">
      <c r="A269" s="14">
        <v>46186</v>
      </c>
      <c r="B269" s="7" t="s">
        <v>45</v>
      </c>
      <c r="C269" s="7" t="s">
        <v>46</v>
      </c>
      <c r="D269" s="7" t="s">
        <v>31</v>
      </c>
      <c r="E269" s="55">
        <v>0.39</v>
      </c>
      <c r="F269" s="55">
        <v>0.67</v>
      </c>
      <c r="G269" s="13">
        <v>9</v>
      </c>
      <c r="H269" s="13">
        <v>61</v>
      </c>
      <c r="I269" s="43">
        <v>20</v>
      </c>
      <c r="J269" s="15">
        <v>46978</v>
      </c>
    </row>
    <row r="270" spans="1:10" x14ac:dyDescent="0.3">
      <c r="A270" s="14">
        <v>46186</v>
      </c>
      <c r="B270" s="7" t="s">
        <v>54</v>
      </c>
      <c r="C270" s="7" t="s">
        <v>36</v>
      </c>
      <c r="D270" s="7" t="s">
        <v>34</v>
      </c>
      <c r="E270" s="54">
        <v>1.0900000000000001</v>
      </c>
      <c r="F270" s="54">
        <v>1.77</v>
      </c>
      <c r="G270" s="13">
        <v>29</v>
      </c>
      <c r="H270" s="13">
        <v>54</v>
      </c>
      <c r="I270" s="42">
        <v>35</v>
      </c>
      <c r="J270" s="15">
        <v>46480</v>
      </c>
    </row>
    <row r="271" spans="1:10" x14ac:dyDescent="0.3">
      <c r="A271" s="14">
        <v>46188</v>
      </c>
      <c r="B271" s="7" t="s">
        <v>18</v>
      </c>
      <c r="C271" s="7" t="s">
        <v>19</v>
      </c>
      <c r="D271" s="7" t="s">
        <v>31</v>
      </c>
      <c r="E271" s="55">
        <v>1.57</v>
      </c>
      <c r="F271" s="55">
        <v>2.2999999999999998</v>
      </c>
      <c r="G271" s="13">
        <v>13</v>
      </c>
      <c r="H271" s="13">
        <v>16</v>
      </c>
      <c r="I271" s="43">
        <v>20</v>
      </c>
      <c r="J271" s="15">
        <v>46940</v>
      </c>
    </row>
    <row r="272" spans="1:10" x14ac:dyDescent="0.3">
      <c r="A272" s="14">
        <v>46188</v>
      </c>
      <c r="B272" s="7" t="s">
        <v>52</v>
      </c>
      <c r="C272" s="7" t="s">
        <v>14</v>
      </c>
      <c r="D272" s="7" t="s">
        <v>20</v>
      </c>
      <c r="E272" s="54">
        <v>1.89</v>
      </c>
      <c r="F272" s="54">
        <v>3.03</v>
      </c>
      <c r="G272" s="13">
        <v>24</v>
      </c>
      <c r="H272" s="13">
        <v>106</v>
      </c>
      <c r="I272" s="42">
        <v>35</v>
      </c>
      <c r="J272" s="15">
        <v>46450</v>
      </c>
    </row>
    <row r="273" spans="1:10" x14ac:dyDescent="0.3">
      <c r="A273" s="14">
        <v>46188</v>
      </c>
      <c r="B273" s="7" t="s">
        <v>33</v>
      </c>
      <c r="C273" s="7" t="s">
        <v>11</v>
      </c>
      <c r="D273" s="7" t="s">
        <v>15</v>
      </c>
      <c r="E273" s="55">
        <v>1.1599999999999999</v>
      </c>
      <c r="F273" s="55">
        <v>2.02</v>
      </c>
      <c r="G273" s="13">
        <v>39</v>
      </c>
      <c r="H273" s="13">
        <v>92</v>
      </c>
      <c r="I273" s="43">
        <v>35</v>
      </c>
      <c r="J273" s="15">
        <v>46624</v>
      </c>
    </row>
    <row r="274" spans="1:10" x14ac:dyDescent="0.3">
      <c r="A274" s="14">
        <v>46188</v>
      </c>
      <c r="B274" s="7" t="s">
        <v>48</v>
      </c>
      <c r="C274" s="7" t="s">
        <v>43</v>
      </c>
      <c r="D274" s="7" t="s">
        <v>31</v>
      </c>
      <c r="E274" s="54">
        <v>3.19</v>
      </c>
      <c r="F274" s="54">
        <v>4.88</v>
      </c>
      <c r="G274" s="13">
        <v>6</v>
      </c>
      <c r="H274" s="13">
        <v>53</v>
      </c>
      <c r="I274" s="42">
        <v>20</v>
      </c>
      <c r="J274" s="15">
        <v>46901</v>
      </c>
    </row>
    <row r="275" spans="1:10" x14ac:dyDescent="0.3">
      <c r="A275" s="14">
        <v>46188</v>
      </c>
      <c r="B275" s="7" t="s">
        <v>16</v>
      </c>
      <c r="C275" s="7" t="s">
        <v>17</v>
      </c>
      <c r="D275" s="7" t="s">
        <v>49</v>
      </c>
      <c r="E275" s="55">
        <v>0.97</v>
      </c>
      <c r="F275" s="55">
        <v>1.61</v>
      </c>
      <c r="G275" s="13">
        <v>11</v>
      </c>
      <c r="H275" s="13">
        <v>7</v>
      </c>
      <c r="I275" s="43">
        <v>20</v>
      </c>
      <c r="J275" s="15">
        <v>46992</v>
      </c>
    </row>
    <row r="276" spans="1:10" x14ac:dyDescent="0.3">
      <c r="A276" s="14">
        <v>46188</v>
      </c>
      <c r="B276" s="7" t="s">
        <v>29</v>
      </c>
      <c r="C276" s="7" t="s">
        <v>30</v>
      </c>
      <c r="D276" s="7" t="s">
        <v>20</v>
      </c>
      <c r="E276" s="54">
        <v>2.89</v>
      </c>
      <c r="F276" s="54">
        <v>4.4400000000000004</v>
      </c>
      <c r="G276" s="13">
        <v>13</v>
      </c>
      <c r="H276" s="13">
        <v>51</v>
      </c>
      <c r="I276" s="42">
        <v>20</v>
      </c>
      <c r="J276" s="15">
        <v>46412</v>
      </c>
    </row>
    <row r="277" spans="1:10" x14ac:dyDescent="0.3">
      <c r="A277" s="14">
        <v>46189</v>
      </c>
      <c r="B277" s="7" t="s">
        <v>38</v>
      </c>
      <c r="C277" s="7" t="s">
        <v>28</v>
      </c>
      <c r="D277" s="7" t="s">
        <v>12</v>
      </c>
      <c r="E277" s="55">
        <v>4.24</v>
      </c>
      <c r="F277" s="55">
        <v>7.38</v>
      </c>
      <c r="G277" s="13">
        <v>12</v>
      </c>
      <c r="H277" s="13">
        <v>21</v>
      </c>
      <c r="I277" s="43">
        <v>20</v>
      </c>
      <c r="J277" s="15">
        <v>47008</v>
      </c>
    </row>
    <row r="278" spans="1:10" x14ac:dyDescent="0.3">
      <c r="A278" s="14">
        <v>46192</v>
      </c>
      <c r="B278" s="7" t="s">
        <v>54</v>
      </c>
      <c r="C278" s="7" t="s">
        <v>36</v>
      </c>
      <c r="D278" s="7" t="s">
        <v>20</v>
      </c>
      <c r="E278" s="54">
        <v>1.0900000000000001</v>
      </c>
      <c r="F278" s="54">
        <v>1.77</v>
      </c>
      <c r="G278" s="13">
        <v>19</v>
      </c>
      <c r="H278" s="13">
        <v>138</v>
      </c>
      <c r="I278" s="42">
        <v>35</v>
      </c>
      <c r="J278" s="15">
        <v>46801</v>
      </c>
    </row>
    <row r="279" spans="1:10" x14ac:dyDescent="0.3">
      <c r="A279" s="14">
        <v>46193</v>
      </c>
      <c r="B279" s="7" t="s">
        <v>29</v>
      </c>
      <c r="C279" s="7" t="s">
        <v>30</v>
      </c>
      <c r="D279" s="7" t="s">
        <v>31</v>
      </c>
      <c r="E279" s="55">
        <v>2.89</v>
      </c>
      <c r="F279" s="55">
        <v>4.4400000000000004</v>
      </c>
      <c r="G279" s="13">
        <v>18</v>
      </c>
      <c r="H279" s="13">
        <v>46</v>
      </c>
      <c r="I279" s="43">
        <v>20</v>
      </c>
      <c r="J279" s="15">
        <v>46713</v>
      </c>
    </row>
    <row r="280" spans="1:10" x14ac:dyDescent="0.3">
      <c r="A280" s="14">
        <v>46193</v>
      </c>
      <c r="B280" s="7" t="s">
        <v>13</v>
      </c>
      <c r="C280" s="7" t="s">
        <v>14</v>
      </c>
      <c r="D280" s="7" t="s">
        <v>34</v>
      </c>
      <c r="E280" s="54">
        <v>1.1499999999999999</v>
      </c>
      <c r="F280" s="54">
        <v>1.95</v>
      </c>
      <c r="G280" s="13">
        <v>10</v>
      </c>
      <c r="H280" s="13">
        <v>25</v>
      </c>
      <c r="I280" s="42">
        <v>15</v>
      </c>
      <c r="J280" s="15">
        <v>46669</v>
      </c>
    </row>
    <row r="281" spans="1:10" x14ac:dyDescent="0.3">
      <c r="A281" s="14">
        <v>46193</v>
      </c>
      <c r="B281" s="7" t="s">
        <v>40</v>
      </c>
      <c r="C281" s="7" t="s">
        <v>41</v>
      </c>
      <c r="D281" s="7" t="s">
        <v>15</v>
      </c>
      <c r="E281" s="55">
        <v>1.81</v>
      </c>
      <c r="F281" s="55">
        <v>3.15</v>
      </c>
      <c r="G281" s="13">
        <v>12</v>
      </c>
      <c r="H281" s="13">
        <v>9</v>
      </c>
      <c r="I281" s="43">
        <v>15</v>
      </c>
      <c r="J281" s="15">
        <v>46946</v>
      </c>
    </row>
    <row r="282" spans="1:10" x14ac:dyDescent="0.3">
      <c r="A282" s="14">
        <v>46193</v>
      </c>
      <c r="B282" s="7" t="s">
        <v>23</v>
      </c>
      <c r="C282" s="7" t="s">
        <v>24</v>
      </c>
      <c r="D282" s="7" t="s">
        <v>34</v>
      </c>
      <c r="E282" s="54">
        <v>3.03</v>
      </c>
      <c r="F282" s="54">
        <v>4.37</v>
      </c>
      <c r="G282" s="13">
        <v>4</v>
      </c>
      <c r="H282" s="13">
        <v>10</v>
      </c>
      <c r="I282" s="42">
        <v>15</v>
      </c>
      <c r="J282" s="15">
        <v>46645</v>
      </c>
    </row>
    <row r="283" spans="1:10" x14ac:dyDescent="0.3">
      <c r="A283" s="14">
        <v>46196</v>
      </c>
      <c r="B283" s="7" t="s">
        <v>55</v>
      </c>
      <c r="C283" s="7" t="s">
        <v>41</v>
      </c>
      <c r="D283" s="7" t="s">
        <v>20</v>
      </c>
      <c r="E283" s="55">
        <v>2.25</v>
      </c>
      <c r="F283" s="55">
        <v>3.07</v>
      </c>
      <c r="G283" s="13">
        <v>3</v>
      </c>
      <c r="H283" s="13">
        <v>3</v>
      </c>
      <c r="I283" s="43">
        <v>15</v>
      </c>
      <c r="J283" s="15">
        <v>46676</v>
      </c>
    </row>
    <row r="284" spans="1:10" x14ac:dyDescent="0.3">
      <c r="A284" s="14">
        <v>46197</v>
      </c>
      <c r="B284" s="7" t="s">
        <v>45</v>
      </c>
      <c r="C284" s="7" t="s">
        <v>46</v>
      </c>
      <c r="D284" s="7" t="s">
        <v>26</v>
      </c>
      <c r="E284" s="54">
        <v>0.39</v>
      </c>
      <c r="F284" s="54">
        <v>0.67</v>
      </c>
      <c r="G284" s="13">
        <v>13</v>
      </c>
      <c r="H284" s="13">
        <v>8</v>
      </c>
      <c r="I284" s="42">
        <v>20</v>
      </c>
      <c r="J284" s="15">
        <v>46944</v>
      </c>
    </row>
    <row r="285" spans="1:10" x14ac:dyDescent="0.3">
      <c r="A285" s="14">
        <v>46197</v>
      </c>
      <c r="B285" s="7" t="s">
        <v>37</v>
      </c>
      <c r="C285" s="7" t="s">
        <v>24</v>
      </c>
      <c r="D285" s="7" t="s">
        <v>15</v>
      </c>
      <c r="E285" s="55">
        <v>2.39</v>
      </c>
      <c r="F285" s="55">
        <v>3.89</v>
      </c>
      <c r="G285" s="13">
        <v>7</v>
      </c>
      <c r="H285" s="13">
        <v>16</v>
      </c>
      <c r="I285" s="43">
        <v>35</v>
      </c>
      <c r="J285" s="15">
        <v>46687</v>
      </c>
    </row>
    <row r="286" spans="1:10" x14ac:dyDescent="0.3">
      <c r="A286" s="14">
        <v>46198</v>
      </c>
      <c r="B286" s="7" t="s">
        <v>16</v>
      </c>
      <c r="C286" s="7" t="s">
        <v>17</v>
      </c>
      <c r="D286" s="7" t="s">
        <v>49</v>
      </c>
      <c r="E286" s="54">
        <v>0.97</v>
      </c>
      <c r="F286" s="54">
        <v>1.61</v>
      </c>
      <c r="G286" s="13">
        <v>8</v>
      </c>
      <c r="H286" s="13">
        <v>38</v>
      </c>
      <c r="I286" s="42">
        <v>20</v>
      </c>
      <c r="J286" s="15">
        <v>47101</v>
      </c>
    </row>
    <row r="287" spans="1:10" x14ac:dyDescent="0.3">
      <c r="A287" s="14">
        <v>46198</v>
      </c>
      <c r="B287" s="7" t="s">
        <v>53</v>
      </c>
      <c r="C287" s="7" t="s">
        <v>30</v>
      </c>
      <c r="D287" s="7" t="s">
        <v>34</v>
      </c>
      <c r="E287" s="55">
        <v>1.04</v>
      </c>
      <c r="F287" s="55">
        <v>1.58</v>
      </c>
      <c r="G287" s="13">
        <v>13</v>
      </c>
      <c r="H287" s="13">
        <v>70</v>
      </c>
      <c r="I287" s="43">
        <v>20</v>
      </c>
      <c r="J287" s="15">
        <v>46973</v>
      </c>
    </row>
    <row r="288" spans="1:10" x14ac:dyDescent="0.3">
      <c r="A288" s="14">
        <v>46198</v>
      </c>
      <c r="B288" s="7" t="s">
        <v>47</v>
      </c>
      <c r="C288" s="7" t="s">
        <v>43</v>
      </c>
      <c r="D288" s="7" t="s">
        <v>26</v>
      </c>
      <c r="E288" s="54">
        <v>4.33</v>
      </c>
      <c r="F288" s="54">
        <v>7.26</v>
      </c>
      <c r="G288" s="13">
        <v>8</v>
      </c>
      <c r="H288" s="13">
        <v>5</v>
      </c>
      <c r="I288" s="42">
        <v>15</v>
      </c>
      <c r="J288" s="15">
        <v>46710</v>
      </c>
    </row>
    <row r="289" spans="1:10" x14ac:dyDescent="0.3">
      <c r="A289" s="14">
        <v>46199</v>
      </c>
      <c r="B289" s="7" t="s">
        <v>25</v>
      </c>
      <c r="C289" s="7" t="s">
        <v>11</v>
      </c>
      <c r="D289" s="7" t="s">
        <v>34</v>
      </c>
      <c r="E289" s="55">
        <v>1.54</v>
      </c>
      <c r="F289" s="55">
        <v>2.5</v>
      </c>
      <c r="G289" s="13">
        <v>17</v>
      </c>
      <c r="H289" s="13">
        <v>30</v>
      </c>
      <c r="I289" s="43">
        <v>35</v>
      </c>
      <c r="J289" s="15">
        <v>47019</v>
      </c>
    </row>
    <row r="290" spans="1:10" x14ac:dyDescent="0.3">
      <c r="A290" s="14">
        <v>46199</v>
      </c>
      <c r="B290" s="7" t="s">
        <v>37</v>
      </c>
      <c r="C290" s="7" t="s">
        <v>24</v>
      </c>
      <c r="D290" s="7" t="s">
        <v>15</v>
      </c>
      <c r="E290" s="54">
        <v>2.39</v>
      </c>
      <c r="F290" s="54">
        <v>3.89</v>
      </c>
      <c r="G290" s="13">
        <v>6</v>
      </c>
      <c r="H290" s="13">
        <v>19</v>
      </c>
      <c r="I290" s="42">
        <v>35</v>
      </c>
      <c r="J290" s="15">
        <v>47059</v>
      </c>
    </row>
    <row r="291" spans="1:10" x14ac:dyDescent="0.3">
      <c r="A291" s="14">
        <v>46201</v>
      </c>
      <c r="B291" s="7" t="s">
        <v>45</v>
      </c>
      <c r="C291" s="7" t="s">
        <v>46</v>
      </c>
      <c r="D291" s="7" t="s">
        <v>31</v>
      </c>
      <c r="E291" s="55">
        <v>0.39</v>
      </c>
      <c r="F291" s="55">
        <v>0.67</v>
      </c>
      <c r="G291" s="13">
        <v>14</v>
      </c>
      <c r="H291" s="13">
        <v>62</v>
      </c>
      <c r="I291" s="43">
        <v>20</v>
      </c>
      <c r="J291" s="15">
        <v>46915</v>
      </c>
    </row>
    <row r="292" spans="1:10" x14ac:dyDescent="0.3">
      <c r="A292" s="14">
        <v>46202</v>
      </c>
      <c r="B292" s="7" t="s">
        <v>38</v>
      </c>
      <c r="C292" s="7" t="s">
        <v>28</v>
      </c>
      <c r="D292" s="7" t="s">
        <v>49</v>
      </c>
      <c r="E292" s="54">
        <v>4.24</v>
      </c>
      <c r="F292" s="54">
        <v>7.38</v>
      </c>
      <c r="G292" s="13">
        <v>14</v>
      </c>
      <c r="H292" s="13">
        <v>22</v>
      </c>
      <c r="I292" s="42">
        <v>20</v>
      </c>
      <c r="J292" s="15">
        <v>46971</v>
      </c>
    </row>
    <row r="293" spans="1:10" x14ac:dyDescent="0.3">
      <c r="A293" s="14">
        <v>46202</v>
      </c>
      <c r="B293" s="7" t="s">
        <v>44</v>
      </c>
      <c r="C293" s="7" t="s">
        <v>36</v>
      </c>
      <c r="D293" s="7" t="s">
        <v>34</v>
      </c>
      <c r="E293" s="55">
        <v>1.48</v>
      </c>
      <c r="F293" s="55">
        <v>2.2599999999999998</v>
      </c>
      <c r="G293" s="13">
        <v>16</v>
      </c>
      <c r="H293" s="13">
        <v>32</v>
      </c>
      <c r="I293" s="43">
        <v>20</v>
      </c>
      <c r="J293" s="15">
        <v>46796</v>
      </c>
    </row>
    <row r="294" spans="1:10" x14ac:dyDescent="0.3">
      <c r="A294" s="14">
        <v>46202</v>
      </c>
      <c r="B294" s="7" t="s">
        <v>48</v>
      </c>
      <c r="C294" s="7" t="s">
        <v>43</v>
      </c>
      <c r="D294" s="7" t="s">
        <v>12</v>
      </c>
      <c r="E294" s="54">
        <v>3.19</v>
      </c>
      <c r="F294" s="54">
        <v>4.88</v>
      </c>
      <c r="G294" s="13">
        <v>6</v>
      </c>
      <c r="H294" s="13">
        <v>50</v>
      </c>
      <c r="I294" s="42">
        <v>20</v>
      </c>
      <c r="J294" s="15">
        <v>46524</v>
      </c>
    </row>
    <row r="295" spans="1:10" x14ac:dyDescent="0.3">
      <c r="A295" s="14">
        <v>46203</v>
      </c>
      <c r="B295" s="7" t="s">
        <v>50</v>
      </c>
      <c r="C295" s="7" t="s">
        <v>17</v>
      </c>
      <c r="D295" s="7" t="s">
        <v>12</v>
      </c>
      <c r="E295" s="55">
        <v>0.85</v>
      </c>
      <c r="F295" s="55">
        <v>1.1499999999999999</v>
      </c>
      <c r="G295" s="13">
        <v>13</v>
      </c>
      <c r="H295" s="13">
        <v>22</v>
      </c>
      <c r="I295" s="43">
        <v>20</v>
      </c>
      <c r="J295" s="15">
        <v>46590</v>
      </c>
    </row>
    <row r="296" spans="1:10" x14ac:dyDescent="0.3">
      <c r="A296" s="14">
        <v>46203</v>
      </c>
      <c r="B296" s="7" t="s">
        <v>51</v>
      </c>
      <c r="C296" s="7" t="s">
        <v>28</v>
      </c>
      <c r="D296" s="7" t="s">
        <v>20</v>
      </c>
      <c r="E296" s="54">
        <v>3.42</v>
      </c>
      <c r="F296" s="54">
        <v>5.27</v>
      </c>
      <c r="G296" s="13">
        <v>22</v>
      </c>
      <c r="H296" s="13">
        <v>65</v>
      </c>
      <c r="I296" s="42">
        <v>35</v>
      </c>
      <c r="J296" s="15">
        <v>46867</v>
      </c>
    </row>
    <row r="297" spans="1:10" x14ac:dyDescent="0.3">
      <c r="A297" s="14">
        <v>46203</v>
      </c>
      <c r="B297" s="7" t="s">
        <v>38</v>
      </c>
      <c r="C297" s="7" t="s">
        <v>28</v>
      </c>
      <c r="D297" s="7" t="s">
        <v>26</v>
      </c>
      <c r="E297" s="55">
        <v>4.24</v>
      </c>
      <c r="F297" s="55">
        <v>7.38</v>
      </c>
      <c r="G297" s="13">
        <v>15</v>
      </c>
      <c r="H297" s="13">
        <v>13</v>
      </c>
      <c r="I297" s="43">
        <v>20</v>
      </c>
      <c r="J297" s="15">
        <v>46469</v>
      </c>
    </row>
    <row r="298" spans="1:10" x14ac:dyDescent="0.3">
      <c r="A298" s="14">
        <v>46203</v>
      </c>
      <c r="B298" s="7" t="s">
        <v>55</v>
      </c>
      <c r="C298" s="7" t="s">
        <v>41</v>
      </c>
      <c r="D298" s="7" t="s">
        <v>12</v>
      </c>
      <c r="E298" s="54">
        <v>2.25</v>
      </c>
      <c r="F298" s="54">
        <v>3.07</v>
      </c>
      <c r="G298" s="13">
        <v>3</v>
      </c>
      <c r="H298" s="13">
        <v>22</v>
      </c>
      <c r="I298" s="42">
        <v>15</v>
      </c>
      <c r="J298" s="15">
        <v>46772</v>
      </c>
    </row>
    <row r="299" spans="1:10" x14ac:dyDescent="0.3">
      <c r="A299" s="14">
        <v>46204</v>
      </c>
      <c r="B299" s="7" t="s">
        <v>35</v>
      </c>
      <c r="C299" s="7" t="s">
        <v>36</v>
      </c>
      <c r="D299" s="7" t="s">
        <v>49</v>
      </c>
      <c r="E299" s="55">
        <v>3.23</v>
      </c>
      <c r="F299" s="55">
        <v>5.0199999999999996</v>
      </c>
      <c r="G299" s="13">
        <v>17</v>
      </c>
      <c r="H299" s="13">
        <v>16</v>
      </c>
      <c r="I299" s="43">
        <v>20</v>
      </c>
      <c r="J299" s="15">
        <v>46595</v>
      </c>
    </row>
    <row r="300" spans="1:10" x14ac:dyDescent="0.3">
      <c r="A300" s="14">
        <v>46204</v>
      </c>
      <c r="B300" s="7" t="s">
        <v>44</v>
      </c>
      <c r="C300" s="7" t="s">
        <v>36</v>
      </c>
      <c r="D300" s="7" t="s">
        <v>20</v>
      </c>
      <c r="E300" s="54">
        <v>1.48</v>
      </c>
      <c r="F300" s="54">
        <v>2.2599999999999998</v>
      </c>
      <c r="G300" s="13">
        <v>17</v>
      </c>
      <c r="H300" s="13">
        <v>22</v>
      </c>
      <c r="I300" s="42">
        <v>20</v>
      </c>
      <c r="J300" s="15">
        <v>46807</v>
      </c>
    </row>
    <row r="301" spans="1:10" x14ac:dyDescent="0.3">
      <c r="A301" s="14">
        <v>46204</v>
      </c>
      <c r="B301" s="7" t="s">
        <v>48</v>
      </c>
      <c r="C301" s="7" t="s">
        <v>43</v>
      </c>
      <c r="D301" s="7" t="s">
        <v>26</v>
      </c>
      <c r="E301" s="55">
        <v>3.19</v>
      </c>
      <c r="F301" s="55">
        <v>4.88</v>
      </c>
      <c r="G301" s="13">
        <v>14</v>
      </c>
      <c r="H301" s="13">
        <v>40</v>
      </c>
      <c r="I301" s="43">
        <v>20</v>
      </c>
      <c r="J301" s="15">
        <v>46676</v>
      </c>
    </row>
    <row r="302" spans="1:10" x14ac:dyDescent="0.3">
      <c r="A302" s="14">
        <v>46204</v>
      </c>
      <c r="B302" s="7" t="s">
        <v>54</v>
      </c>
      <c r="C302" s="7" t="s">
        <v>36</v>
      </c>
      <c r="D302" s="7" t="s">
        <v>20</v>
      </c>
      <c r="E302" s="54">
        <v>1.0900000000000001</v>
      </c>
      <c r="F302" s="54">
        <v>1.77</v>
      </c>
      <c r="G302" s="13">
        <v>35</v>
      </c>
      <c r="H302" s="13">
        <v>137</v>
      </c>
      <c r="I302" s="42">
        <v>35</v>
      </c>
      <c r="J302" s="15">
        <v>46394</v>
      </c>
    </row>
    <row r="303" spans="1:10" x14ac:dyDescent="0.3">
      <c r="A303" s="14">
        <v>46204</v>
      </c>
      <c r="B303" s="7" t="s">
        <v>10</v>
      </c>
      <c r="C303" s="7" t="s">
        <v>11</v>
      </c>
      <c r="D303" s="7" t="s">
        <v>26</v>
      </c>
      <c r="E303" s="55">
        <v>1.85</v>
      </c>
      <c r="F303" s="55">
        <v>2.5099999999999998</v>
      </c>
      <c r="G303" s="13">
        <v>22</v>
      </c>
      <c r="H303" s="13">
        <v>27</v>
      </c>
      <c r="I303" s="43">
        <v>35</v>
      </c>
      <c r="J303" s="15">
        <v>47003</v>
      </c>
    </row>
    <row r="304" spans="1:10" x14ac:dyDescent="0.3">
      <c r="A304" s="14">
        <v>46205</v>
      </c>
      <c r="B304" s="7" t="s">
        <v>47</v>
      </c>
      <c r="C304" s="7" t="s">
        <v>43</v>
      </c>
      <c r="D304" s="7" t="s">
        <v>20</v>
      </c>
      <c r="E304" s="54">
        <v>4.33</v>
      </c>
      <c r="F304" s="54">
        <v>7.26</v>
      </c>
      <c r="G304" s="13">
        <v>8</v>
      </c>
      <c r="H304" s="13">
        <v>22</v>
      </c>
      <c r="I304" s="42">
        <v>15</v>
      </c>
      <c r="J304" s="15">
        <v>46390</v>
      </c>
    </row>
    <row r="305" spans="1:10" x14ac:dyDescent="0.3">
      <c r="A305" s="14">
        <v>46205</v>
      </c>
      <c r="B305" s="7" t="s">
        <v>55</v>
      </c>
      <c r="C305" s="7" t="s">
        <v>41</v>
      </c>
      <c r="D305" s="7" t="s">
        <v>34</v>
      </c>
      <c r="E305" s="55">
        <v>2.25</v>
      </c>
      <c r="F305" s="55">
        <v>3.07</v>
      </c>
      <c r="G305" s="13">
        <v>6</v>
      </c>
      <c r="H305" s="13">
        <v>24</v>
      </c>
      <c r="I305" s="43">
        <v>15</v>
      </c>
      <c r="J305" s="15">
        <v>46452</v>
      </c>
    </row>
    <row r="306" spans="1:10" x14ac:dyDescent="0.3">
      <c r="A306" s="14">
        <v>46205</v>
      </c>
      <c r="B306" s="7" t="s">
        <v>39</v>
      </c>
      <c r="C306" s="7" t="s">
        <v>14</v>
      </c>
      <c r="D306" s="7" t="s">
        <v>20</v>
      </c>
      <c r="E306" s="54">
        <v>2.58</v>
      </c>
      <c r="F306" s="54">
        <v>4.3899999999999997</v>
      </c>
      <c r="G306" s="13">
        <v>20</v>
      </c>
      <c r="H306" s="13">
        <v>23</v>
      </c>
      <c r="I306" s="42">
        <v>35</v>
      </c>
      <c r="J306" s="15">
        <v>46495</v>
      </c>
    </row>
    <row r="307" spans="1:10" x14ac:dyDescent="0.3">
      <c r="A307" s="14">
        <v>46206</v>
      </c>
      <c r="B307" s="7" t="s">
        <v>37</v>
      </c>
      <c r="C307" s="7" t="s">
        <v>24</v>
      </c>
      <c r="D307" s="7" t="s">
        <v>20</v>
      </c>
      <c r="E307" s="55">
        <v>2.39</v>
      </c>
      <c r="F307" s="55">
        <v>3.89</v>
      </c>
      <c r="G307" s="13">
        <v>13</v>
      </c>
      <c r="H307" s="13">
        <v>44</v>
      </c>
      <c r="I307" s="43">
        <v>35</v>
      </c>
      <c r="J307" s="15">
        <v>46726</v>
      </c>
    </row>
    <row r="308" spans="1:10" x14ac:dyDescent="0.3">
      <c r="A308" s="14">
        <v>46206</v>
      </c>
      <c r="B308" s="7" t="s">
        <v>57</v>
      </c>
      <c r="C308" s="7" t="s">
        <v>19</v>
      </c>
      <c r="D308" s="7" t="s">
        <v>31</v>
      </c>
      <c r="E308" s="54">
        <v>1.23</v>
      </c>
      <c r="F308" s="54">
        <v>1.93</v>
      </c>
      <c r="G308" s="13">
        <v>7</v>
      </c>
      <c r="H308" s="13">
        <v>46</v>
      </c>
      <c r="I308" s="42">
        <v>15</v>
      </c>
      <c r="J308" s="15">
        <v>46877</v>
      </c>
    </row>
    <row r="309" spans="1:10" x14ac:dyDescent="0.3">
      <c r="A309" s="14">
        <v>46206</v>
      </c>
      <c r="B309" s="7" t="s">
        <v>25</v>
      </c>
      <c r="C309" s="7" t="s">
        <v>11</v>
      </c>
      <c r="D309" s="7" t="s">
        <v>20</v>
      </c>
      <c r="E309" s="55">
        <v>1.54</v>
      </c>
      <c r="F309" s="55">
        <v>2.5</v>
      </c>
      <c r="G309" s="13">
        <v>10</v>
      </c>
      <c r="H309" s="13">
        <v>52</v>
      </c>
      <c r="I309" s="43">
        <v>35</v>
      </c>
      <c r="J309" s="15">
        <v>47001</v>
      </c>
    </row>
    <row r="310" spans="1:10" x14ac:dyDescent="0.3">
      <c r="A310" s="14">
        <v>46206</v>
      </c>
      <c r="B310" s="7" t="s">
        <v>48</v>
      </c>
      <c r="C310" s="7" t="s">
        <v>43</v>
      </c>
      <c r="D310" s="7" t="s">
        <v>26</v>
      </c>
      <c r="E310" s="54">
        <v>3.19</v>
      </c>
      <c r="F310" s="54">
        <v>4.88</v>
      </c>
      <c r="G310" s="13">
        <v>15</v>
      </c>
      <c r="H310" s="13">
        <v>45</v>
      </c>
      <c r="I310" s="42">
        <v>20</v>
      </c>
      <c r="J310" s="15">
        <v>46635</v>
      </c>
    </row>
    <row r="311" spans="1:10" x14ac:dyDescent="0.3">
      <c r="A311" s="14">
        <v>46206</v>
      </c>
      <c r="B311" s="7" t="s">
        <v>42</v>
      </c>
      <c r="C311" s="7" t="s">
        <v>43</v>
      </c>
      <c r="D311" s="7" t="s">
        <v>15</v>
      </c>
      <c r="E311" s="55">
        <v>1.95</v>
      </c>
      <c r="F311" s="55">
        <v>3.09</v>
      </c>
      <c r="G311" s="13">
        <v>10</v>
      </c>
      <c r="H311" s="13">
        <v>16</v>
      </c>
      <c r="I311" s="43">
        <v>35</v>
      </c>
      <c r="J311" s="15">
        <v>46929</v>
      </c>
    </row>
    <row r="312" spans="1:10" x14ac:dyDescent="0.3">
      <c r="A312" s="14">
        <v>46206</v>
      </c>
      <c r="B312" s="7" t="s">
        <v>23</v>
      </c>
      <c r="C312" s="7" t="s">
        <v>24</v>
      </c>
      <c r="D312" s="7" t="s">
        <v>20</v>
      </c>
      <c r="E312" s="54">
        <v>3.03</v>
      </c>
      <c r="F312" s="54">
        <v>4.37</v>
      </c>
      <c r="G312" s="13">
        <v>3</v>
      </c>
      <c r="H312" s="13">
        <v>15</v>
      </c>
      <c r="I312" s="42">
        <v>15</v>
      </c>
      <c r="J312" s="15">
        <v>47016</v>
      </c>
    </row>
    <row r="313" spans="1:10" x14ac:dyDescent="0.3">
      <c r="A313" s="14">
        <v>46207</v>
      </c>
      <c r="B313" s="7" t="s">
        <v>29</v>
      </c>
      <c r="C313" s="7" t="s">
        <v>30</v>
      </c>
      <c r="D313" s="7" t="s">
        <v>49</v>
      </c>
      <c r="E313" s="55">
        <v>2.89</v>
      </c>
      <c r="F313" s="55">
        <v>4.4400000000000004</v>
      </c>
      <c r="G313" s="13">
        <v>23</v>
      </c>
      <c r="H313" s="13">
        <v>48</v>
      </c>
      <c r="I313" s="43">
        <v>20</v>
      </c>
      <c r="J313" s="15">
        <v>46801</v>
      </c>
    </row>
    <row r="314" spans="1:10" x14ac:dyDescent="0.3">
      <c r="A314" s="14">
        <v>46208</v>
      </c>
      <c r="B314" s="7" t="s">
        <v>39</v>
      </c>
      <c r="C314" s="7" t="s">
        <v>14</v>
      </c>
      <c r="D314" s="7" t="s">
        <v>31</v>
      </c>
      <c r="E314" s="54">
        <v>2.58</v>
      </c>
      <c r="F314" s="54">
        <v>4.3899999999999997</v>
      </c>
      <c r="G314" s="13">
        <v>17</v>
      </c>
      <c r="H314" s="13">
        <v>62</v>
      </c>
      <c r="I314" s="42">
        <v>35</v>
      </c>
      <c r="J314" s="15">
        <v>46586</v>
      </c>
    </row>
    <row r="315" spans="1:10" x14ac:dyDescent="0.3">
      <c r="A315" s="14">
        <v>46208</v>
      </c>
      <c r="B315" s="7" t="s">
        <v>45</v>
      </c>
      <c r="C315" s="7" t="s">
        <v>46</v>
      </c>
      <c r="D315" s="7" t="s">
        <v>26</v>
      </c>
      <c r="E315" s="55">
        <v>0.39</v>
      </c>
      <c r="F315" s="55">
        <v>0.67</v>
      </c>
      <c r="G315" s="13">
        <v>19</v>
      </c>
      <c r="H315" s="13">
        <v>77</v>
      </c>
      <c r="I315" s="43">
        <v>20</v>
      </c>
      <c r="J315" s="15">
        <v>46963</v>
      </c>
    </row>
    <row r="316" spans="1:10" x14ac:dyDescent="0.3">
      <c r="A316" s="14">
        <v>46209</v>
      </c>
      <c r="B316" s="7" t="s">
        <v>10</v>
      </c>
      <c r="C316" s="7" t="s">
        <v>11</v>
      </c>
      <c r="D316" s="7" t="s">
        <v>20</v>
      </c>
      <c r="E316" s="54">
        <v>1.85</v>
      </c>
      <c r="F316" s="54">
        <v>2.5099999999999998</v>
      </c>
      <c r="G316" s="13">
        <v>30</v>
      </c>
      <c r="H316" s="13">
        <v>86</v>
      </c>
      <c r="I316" s="42">
        <v>35</v>
      </c>
      <c r="J316" s="15">
        <v>47075</v>
      </c>
    </row>
    <row r="317" spans="1:10" x14ac:dyDescent="0.3">
      <c r="A317" s="14">
        <v>46209</v>
      </c>
      <c r="B317" s="7" t="s">
        <v>38</v>
      </c>
      <c r="C317" s="7" t="s">
        <v>28</v>
      </c>
      <c r="D317" s="7" t="s">
        <v>20</v>
      </c>
      <c r="E317" s="55">
        <v>4.24</v>
      </c>
      <c r="F317" s="55">
        <v>7.38</v>
      </c>
      <c r="G317" s="13">
        <v>16</v>
      </c>
      <c r="H317" s="13">
        <v>49</v>
      </c>
      <c r="I317" s="43">
        <v>20</v>
      </c>
      <c r="J317" s="15">
        <v>47025</v>
      </c>
    </row>
    <row r="318" spans="1:10" x14ac:dyDescent="0.3">
      <c r="A318" s="14">
        <v>46209</v>
      </c>
      <c r="B318" s="7" t="s">
        <v>40</v>
      </c>
      <c r="C318" s="7" t="s">
        <v>41</v>
      </c>
      <c r="D318" s="7" t="s">
        <v>31</v>
      </c>
      <c r="E318" s="54">
        <v>1.81</v>
      </c>
      <c r="F318" s="54">
        <v>3.15</v>
      </c>
      <c r="G318" s="13">
        <v>6</v>
      </c>
      <c r="H318" s="13">
        <v>30</v>
      </c>
      <c r="I318" s="42">
        <v>15</v>
      </c>
      <c r="J318" s="15">
        <v>46986</v>
      </c>
    </row>
    <row r="319" spans="1:10" x14ac:dyDescent="0.3">
      <c r="A319" s="14">
        <v>46209</v>
      </c>
      <c r="B319" s="7" t="s">
        <v>53</v>
      </c>
      <c r="C319" s="7" t="s">
        <v>30</v>
      </c>
      <c r="D319" s="7" t="s">
        <v>20</v>
      </c>
      <c r="E319" s="55">
        <v>1.04</v>
      </c>
      <c r="F319" s="55">
        <v>1.58</v>
      </c>
      <c r="G319" s="13">
        <v>24</v>
      </c>
      <c r="H319" s="13">
        <v>13</v>
      </c>
      <c r="I319" s="43">
        <v>20</v>
      </c>
      <c r="J319" s="15">
        <v>46617</v>
      </c>
    </row>
    <row r="320" spans="1:10" x14ac:dyDescent="0.3">
      <c r="A320" s="14">
        <v>46209</v>
      </c>
      <c r="B320" s="7" t="s">
        <v>23</v>
      </c>
      <c r="C320" s="7" t="s">
        <v>24</v>
      </c>
      <c r="D320" s="7" t="s">
        <v>26</v>
      </c>
      <c r="E320" s="54">
        <v>3.03</v>
      </c>
      <c r="F320" s="54">
        <v>4.37</v>
      </c>
      <c r="G320" s="13">
        <v>2</v>
      </c>
      <c r="H320" s="13">
        <v>3</v>
      </c>
      <c r="I320" s="42">
        <v>15</v>
      </c>
      <c r="J320" s="15">
        <v>46540</v>
      </c>
    </row>
    <row r="321" spans="1:10" x14ac:dyDescent="0.3">
      <c r="A321" s="14">
        <v>46209</v>
      </c>
      <c r="B321" s="7" t="s">
        <v>58</v>
      </c>
      <c r="C321" s="7" t="s">
        <v>30</v>
      </c>
      <c r="D321" s="7" t="s">
        <v>34</v>
      </c>
      <c r="E321" s="55">
        <v>1.87</v>
      </c>
      <c r="F321" s="55">
        <v>3.11</v>
      </c>
      <c r="G321" s="13">
        <v>20</v>
      </c>
      <c r="H321" s="13">
        <v>52</v>
      </c>
      <c r="I321" s="43">
        <v>15</v>
      </c>
      <c r="J321" s="15">
        <v>46600</v>
      </c>
    </row>
    <row r="322" spans="1:10" x14ac:dyDescent="0.3">
      <c r="A322" s="14">
        <v>46210</v>
      </c>
      <c r="B322" s="7" t="s">
        <v>45</v>
      </c>
      <c r="C322" s="7" t="s">
        <v>46</v>
      </c>
      <c r="D322" s="7" t="s">
        <v>26</v>
      </c>
      <c r="E322" s="54">
        <v>0.39</v>
      </c>
      <c r="F322" s="54">
        <v>0.67</v>
      </c>
      <c r="G322" s="13">
        <v>15</v>
      </c>
      <c r="H322" s="13">
        <v>13</v>
      </c>
      <c r="I322" s="42">
        <v>20</v>
      </c>
      <c r="J322" s="15">
        <v>46776</v>
      </c>
    </row>
    <row r="323" spans="1:10" x14ac:dyDescent="0.3">
      <c r="A323" s="14">
        <v>46210</v>
      </c>
      <c r="B323" s="7" t="s">
        <v>39</v>
      </c>
      <c r="C323" s="7" t="s">
        <v>14</v>
      </c>
      <c r="D323" s="7" t="s">
        <v>15</v>
      </c>
      <c r="E323" s="55">
        <v>2.58</v>
      </c>
      <c r="F323" s="55">
        <v>4.3899999999999997</v>
      </c>
      <c r="G323" s="13">
        <v>16</v>
      </c>
      <c r="H323" s="13">
        <v>89</v>
      </c>
      <c r="I323" s="43">
        <v>35</v>
      </c>
      <c r="J323" s="15">
        <v>46928</v>
      </c>
    </row>
    <row r="324" spans="1:10" x14ac:dyDescent="0.3">
      <c r="A324" s="14">
        <v>46210</v>
      </c>
      <c r="B324" s="7" t="s">
        <v>52</v>
      </c>
      <c r="C324" s="7" t="s">
        <v>14</v>
      </c>
      <c r="D324" s="7" t="s">
        <v>34</v>
      </c>
      <c r="E324" s="54">
        <v>1.89</v>
      </c>
      <c r="F324" s="54">
        <v>3.03</v>
      </c>
      <c r="G324" s="13">
        <v>32</v>
      </c>
      <c r="H324" s="13">
        <v>67</v>
      </c>
      <c r="I324" s="42">
        <v>35</v>
      </c>
      <c r="J324" s="15">
        <v>47017</v>
      </c>
    </row>
    <row r="325" spans="1:10" x14ac:dyDescent="0.3">
      <c r="A325" s="14">
        <v>46211</v>
      </c>
      <c r="B325" s="7" t="s">
        <v>29</v>
      </c>
      <c r="C325" s="7" t="s">
        <v>30</v>
      </c>
      <c r="D325" s="7" t="s">
        <v>26</v>
      </c>
      <c r="E325" s="55">
        <v>2.89</v>
      </c>
      <c r="F325" s="55">
        <v>4.4400000000000004</v>
      </c>
      <c r="G325" s="13">
        <v>14</v>
      </c>
      <c r="H325" s="13">
        <v>84</v>
      </c>
      <c r="I325" s="43">
        <v>20</v>
      </c>
      <c r="J325" s="15">
        <v>47021</v>
      </c>
    </row>
    <row r="326" spans="1:10" x14ac:dyDescent="0.3">
      <c r="A326" s="14">
        <v>46211</v>
      </c>
      <c r="B326" s="7" t="s">
        <v>56</v>
      </c>
      <c r="C326" s="7" t="s">
        <v>41</v>
      </c>
      <c r="D326" s="7" t="s">
        <v>20</v>
      </c>
      <c r="E326" s="54">
        <v>1.71</v>
      </c>
      <c r="F326" s="54">
        <v>2.74</v>
      </c>
      <c r="G326" s="13">
        <v>4</v>
      </c>
      <c r="H326" s="13">
        <v>28</v>
      </c>
      <c r="I326" s="42">
        <v>15</v>
      </c>
      <c r="J326" s="15">
        <v>46405</v>
      </c>
    </row>
    <row r="327" spans="1:10" x14ac:dyDescent="0.3">
      <c r="A327" s="14">
        <v>46212</v>
      </c>
      <c r="B327" s="7" t="s">
        <v>52</v>
      </c>
      <c r="C327" s="7" t="s">
        <v>14</v>
      </c>
      <c r="D327" s="7" t="s">
        <v>20</v>
      </c>
      <c r="E327" s="55">
        <v>1.89</v>
      </c>
      <c r="F327" s="55">
        <v>3.03</v>
      </c>
      <c r="G327" s="13">
        <v>24</v>
      </c>
      <c r="H327" s="13">
        <v>72</v>
      </c>
      <c r="I327" s="43">
        <v>35</v>
      </c>
      <c r="J327" s="15">
        <v>46759</v>
      </c>
    </row>
    <row r="328" spans="1:10" x14ac:dyDescent="0.3">
      <c r="A328" s="14">
        <v>46212</v>
      </c>
      <c r="B328" s="7" t="s">
        <v>51</v>
      </c>
      <c r="C328" s="7" t="s">
        <v>28</v>
      </c>
      <c r="D328" s="7" t="s">
        <v>15</v>
      </c>
      <c r="E328" s="54">
        <v>3.42</v>
      </c>
      <c r="F328" s="54">
        <v>5.27</v>
      </c>
      <c r="G328" s="13">
        <v>15</v>
      </c>
      <c r="H328" s="13">
        <v>76</v>
      </c>
      <c r="I328" s="42">
        <v>35</v>
      </c>
      <c r="J328" s="15">
        <v>46682</v>
      </c>
    </row>
    <row r="329" spans="1:10" x14ac:dyDescent="0.3">
      <c r="A329" s="14">
        <v>46212</v>
      </c>
      <c r="B329" s="7" t="s">
        <v>38</v>
      </c>
      <c r="C329" s="7" t="s">
        <v>28</v>
      </c>
      <c r="D329" s="7" t="s">
        <v>49</v>
      </c>
      <c r="E329" s="55">
        <v>4.24</v>
      </c>
      <c r="F329" s="55">
        <v>7.38</v>
      </c>
      <c r="G329" s="13">
        <v>14</v>
      </c>
      <c r="H329" s="13">
        <v>21</v>
      </c>
      <c r="I329" s="43">
        <v>20</v>
      </c>
      <c r="J329" s="15">
        <v>47037</v>
      </c>
    </row>
    <row r="330" spans="1:10" x14ac:dyDescent="0.3">
      <c r="A330" s="14">
        <v>46212</v>
      </c>
      <c r="B330" s="7" t="s">
        <v>39</v>
      </c>
      <c r="C330" s="7" t="s">
        <v>14</v>
      </c>
      <c r="D330" s="7" t="s">
        <v>34</v>
      </c>
      <c r="E330" s="54">
        <v>2.58</v>
      </c>
      <c r="F330" s="54">
        <v>4.3899999999999997</v>
      </c>
      <c r="G330" s="13">
        <v>11</v>
      </c>
      <c r="H330" s="13">
        <v>64</v>
      </c>
      <c r="I330" s="42">
        <v>35</v>
      </c>
      <c r="J330" s="15">
        <v>46753</v>
      </c>
    </row>
    <row r="331" spans="1:10" x14ac:dyDescent="0.3">
      <c r="A331" s="14">
        <v>46212</v>
      </c>
      <c r="B331" s="7" t="s">
        <v>18</v>
      </c>
      <c r="C331" s="7" t="s">
        <v>19</v>
      </c>
      <c r="D331" s="7" t="s">
        <v>31</v>
      </c>
      <c r="E331" s="55">
        <v>1.57</v>
      </c>
      <c r="F331" s="55">
        <v>2.2999999999999998</v>
      </c>
      <c r="G331" s="13">
        <v>9</v>
      </c>
      <c r="H331" s="13">
        <v>46</v>
      </c>
      <c r="I331" s="43">
        <v>20</v>
      </c>
      <c r="J331" s="15">
        <v>46592</v>
      </c>
    </row>
    <row r="332" spans="1:10" x14ac:dyDescent="0.3">
      <c r="A332" s="14">
        <v>46212</v>
      </c>
      <c r="B332" s="7" t="s">
        <v>33</v>
      </c>
      <c r="C332" s="7" t="s">
        <v>11</v>
      </c>
      <c r="D332" s="7" t="s">
        <v>15</v>
      </c>
      <c r="E332" s="54">
        <v>1.1599999999999999</v>
      </c>
      <c r="F332" s="54">
        <v>2.02</v>
      </c>
      <c r="G332" s="13">
        <v>36</v>
      </c>
      <c r="H332" s="13">
        <v>161</v>
      </c>
      <c r="I332" s="42">
        <v>35</v>
      </c>
      <c r="J332" s="15">
        <v>46572</v>
      </c>
    </row>
    <row r="333" spans="1:10" x14ac:dyDescent="0.3">
      <c r="A333" s="14">
        <v>46213</v>
      </c>
      <c r="B333" s="7" t="s">
        <v>55</v>
      </c>
      <c r="C333" s="7" t="s">
        <v>41</v>
      </c>
      <c r="D333" s="7" t="s">
        <v>12</v>
      </c>
      <c r="E333" s="55">
        <v>2.25</v>
      </c>
      <c r="F333" s="55">
        <v>3.07</v>
      </c>
      <c r="G333" s="13">
        <v>5</v>
      </c>
      <c r="H333" s="13">
        <v>28</v>
      </c>
      <c r="I333" s="43">
        <v>15</v>
      </c>
      <c r="J333" s="15">
        <v>46907</v>
      </c>
    </row>
    <row r="334" spans="1:10" x14ac:dyDescent="0.3">
      <c r="A334" s="14">
        <v>46213</v>
      </c>
      <c r="B334" s="7" t="s">
        <v>52</v>
      </c>
      <c r="C334" s="7" t="s">
        <v>14</v>
      </c>
      <c r="D334" s="7" t="s">
        <v>26</v>
      </c>
      <c r="E334" s="54">
        <v>1.89</v>
      </c>
      <c r="F334" s="54">
        <v>3.03</v>
      </c>
      <c r="G334" s="13">
        <v>15</v>
      </c>
      <c r="H334" s="13">
        <v>52</v>
      </c>
      <c r="I334" s="42">
        <v>35</v>
      </c>
      <c r="J334" s="15">
        <v>46524</v>
      </c>
    </row>
    <row r="335" spans="1:10" x14ac:dyDescent="0.3">
      <c r="A335" s="14">
        <v>46213</v>
      </c>
      <c r="B335" s="7" t="s">
        <v>37</v>
      </c>
      <c r="C335" s="7" t="s">
        <v>24</v>
      </c>
      <c r="D335" s="7" t="s">
        <v>31</v>
      </c>
      <c r="E335" s="55">
        <v>2.39</v>
      </c>
      <c r="F335" s="55">
        <v>3.89</v>
      </c>
      <c r="G335" s="13">
        <v>7</v>
      </c>
      <c r="H335" s="13">
        <v>34</v>
      </c>
      <c r="I335" s="43">
        <v>35</v>
      </c>
      <c r="J335" s="15">
        <v>46653</v>
      </c>
    </row>
    <row r="336" spans="1:10" x14ac:dyDescent="0.3">
      <c r="A336" s="14">
        <v>46214</v>
      </c>
      <c r="B336" s="7" t="s">
        <v>13</v>
      </c>
      <c r="C336" s="7" t="s">
        <v>14</v>
      </c>
      <c r="D336" s="7" t="s">
        <v>20</v>
      </c>
      <c r="E336" s="54">
        <v>1.1499999999999999</v>
      </c>
      <c r="F336" s="54">
        <v>1.95</v>
      </c>
      <c r="G336" s="13">
        <v>9</v>
      </c>
      <c r="H336" s="13">
        <v>28</v>
      </c>
      <c r="I336" s="42">
        <v>15</v>
      </c>
      <c r="J336" s="15">
        <v>46574</v>
      </c>
    </row>
    <row r="337" spans="1:10" x14ac:dyDescent="0.3">
      <c r="A337" s="14">
        <v>46214</v>
      </c>
      <c r="B337" s="7" t="s">
        <v>47</v>
      </c>
      <c r="C337" s="7" t="s">
        <v>43</v>
      </c>
      <c r="D337" s="7" t="s">
        <v>34</v>
      </c>
      <c r="E337" s="55">
        <v>4.33</v>
      </c>
      <c r="F337" s="55">
        <v>7.26</v>
      </c>
      <c r="G337" s="13">
        <v>8</v>
      </c>
      <c r="H337" s="13">
        <v>20</v>
      </c>
      <c r="I337" s="43">
        <v>15</v>
      </c>
      <c r="J337" s="15">
        <v>46701</v>
      </c>
    </row>
    <row r="338" spans="1:10" x14ac:dyDescent="0.3">
      <c r="A338" s="14">
        <v>46214</v>
      </c>
      <c r="B338" s="7" t="s">
        <v>35</v>
      </c>
      <c r="C338" s="7" t="s">
        <v>36</v>
      </c>
      <c r="D338" s="7" t="s">
        <v>12</v>
      </c>
      <c r="E338" s="54">
        <v>3.23</v>
      </c>
      <c r="F338" s="54">
        <v>5.0199999999999996</v>
      </c>
      <c r="G338" s="13">
        <v>18</v>
      </c>
      <c r="H338" s="13">
        <v>52</v>
      </c>
      <c r="I338" s="42">
        <v>20</v>
      </c>
      <c r="J338" s="15">
        <v>46838</v>
      </c>
    </row>
    <row r="339" spans="1:10" x14ac:dyDescent="0.3">
      <c r="A339" s="14">
        <v>46214</v>
      </c>
      <c r="B339" s="7" t="s">
        <v>56</v>
      </c>
      <c r="C339" s="7" t="s">
        <v>41</v>
      </c>
      <c r="D339" s="7" t="s">
        <v>31</v>
      </c>
      <c r="E339" s="55">
        <v>1.71</v>
      </c>
      <c r="F339" s="55">
        <v>2.74</v>
      </c>
      <c r="G339" s="13">
        <v>5</v>
      </c>
      <c r="H339" s="13">
        <v>20</v>
      </c>
      <c r="I339" s="43">
        <v>15</v>
      </c>
      <c r="J339" s="15">
        <v>46704</v>
      </c>
    </row>
    <row r="340" spans="1:10" x14ac:dyDescent="0.3">
      <c r="A340" s="14">
        <v>46214</v>
      </c>
      <c r="B340" s="7" t="s">
        <v>47</v>
      </c>
      <c r="C340" s="7" t="s">
        <v>43</v>
      </c>
      <c r="D340" s="7" t="s">
        <v>15</v>
      </c>
      <c r="E340" s="54">
        <v>4.33</v>
      </c>
      <c r="F340" s="54">
        <v>7.26</v>
      </c>
      <c r="G340" s="13">
        <v>6</v>
      </c>
      <c r="H340" s="13">
        <v>39</v>
      </c>
      <c r="I340" s="42">
        <v>15</v>
      </c>
      <c r="J340" s="15">
        <v>46369</v>
      </c>
    </row>
    <row r="341" spans="1:10" x14ac:dyDescent="0.3">
      <c r="A341" s="14">
        <v>46215</v>
      </c>
      <c r="B341" s="7" t="s">
        <v>37</v>
      </c>
      <c r="C341" s="7" t="s">
        <v>24</v>
      </c>
      <c r="D341" s="7" t="s">
        <v>20</v>
      </c>
      <c r="E341" s="55">
        <v>2.39</v>
      </c>
      <c r="F341" s="55">
        <v>3.89</v>
      </c>
      <c r="G341" s="13">
        <v>13</v>
      </c>
      <c r="H341" s="13">
        <v>13</v>
      </c>
      <c r="I341" s="43">
        <v>35</v>
      </c>
      <c r="J341" s="15">
        <v>46433</v>
      </c>
    </row>
    <row r="342" spans="1:10" x14ac:dyDescent="0.3">
      <c r="A342" s="14">
        <v>46216</v>
      </c>
      <c r="B342" s="7" t="s">
        <v>21</v>
      </c>
      <c r="C342" s="7" t="s">
        <v>22</v>
      </c>
      <c r="D342" s="7" t="s">
        <v>34</v>
      </c>
      <c r="E342" s="54">
        <v>1.76</v>
      </c>
      <c r="F342" s="54">
        <v>2.82</v>
      </c>
      <c r="G342" s="13">
        <v>26</v>
      </c>
      <c r="H342" s="13">
        <v>63</v>
      </c>
      <c r="I342" s="42">
        <v>35</v>
      </c>
      <c r="J342" s="15">
        <v>46891</v>
      </c>
    </row>
    <row r="343" spans="1:10" x14ac:dyDescent="0.3">
      <c r="A343" s="14">
        <v>46217</v>
      </c>
      <c r="B343" s="7" t="s">
        <v>33</v>
      </c>
      <c r="C343" s="7" t="s">
        <v>11</v>
      </c>
      <c r="D343" s="7" t="s">
        <v>31</v>
      </c>
      <c r="E343" s="55">
        <v>1.1599999999999999</v>
      </c>
      <c r="F343" s="55">
        <v>2.02</v>
      </c>
      <c r="G343" s="13">
        <v>46</v>
      </c>
      <c r="H343" s="13">
        <v>73</v>
      </c>
      <c r="I343" s="43">
        <v>35</v>
      </c>
      <c r="J343" s="15">
        <v>46679</v>
      </c>
    </row>
    <row r="344" spans="1:10" x14ac:dyDescent="0.3">
      <c r="A344" s="14">
        <v>46218</v>
      </c>
      <c r="B344" s="7" t="s">
        <v>35</v>
      </c>
      <c r="C344" s="7" t="s">
        <v>36</v>
      </c>
      <c r="D344" s="7" t="s">
        <v>34</v>
      </c>
      <c r="E344" s="54">
        <v>3.23</v>
      </c>
      <c r="F344" s="54">
        <v>5.0199999999999996</v>
      </c>
      <c r="G344" s="13">
        <v>12</v>
      </c>
      <c r="H344" s="13">
        <v>39</v>
      </c>
      <c r="I344" s="42">
        <v>20</v>
      </c>
      <c r="J344" s="15">
        <v>46439</v>
      </c>
    </row>
    <row r="345" spans="1:10" x14ac:dyDescent="0.3">
      <c r="A345" s="14">
        <v>46219</v>
      </c>
      <c r="B345" s="7" t="s">
        <v>13</v>
      </c>
      <c r="C345" s="7" t="s">
        <v>14</v>
      </c>
      <c r="D345" s="7" t="s">
        <v>34</v>
      </c>
      <c r="E345" s="55">
        <v>1.1499999999999999</v>
      </c>
      <c r="F345" s="55">
        <v>1.95</v>
      </c>
      <c r="G345" s="13">
        <v>5</v>
      </c>
      <c r="H345" s="13">
        <v>36</v>
      </c>
      <c r="I345" s="43">
        <v>15</v>
      </c>
      <c r="J345" s="15">
        <v>46696</v>
      </c>
    </row>
    <row r="346" spans="1:10" x14ac:dyDescent="0.3">
      <c r="A346" s="14">
        <v>46219</v>
      </c>
      <c r="B346" s="7" t="s">
        <v>50</v>
      </c>
      <c r="C346" s="7" t="s">
        <v>17</v>
      </c>
      <c r="D346" s="7" t="s">
        <v>20</v>
      </c>
      <c r="E346" s="54">
        <v>0.85</v>
      </c>
      <c r="F346" s="54">
        <v>1.1499999999999999</v>
      </c>
      <c r="G346" s="13">
        <v>26</v>
      </c>
      <c r="H346" s="13">
        <v>61</v>
      </c>
      <c r="I346" s="42">
        <v>20</v>
      </c>
      <c r="J346" s="15">
        <v>46742</v>
      </c>
    </row>
    <row r="347" spans="1:10" x14ac:dyDescent="0.3">
      <c r="A347" s="14">
        <v>46219</v>
      </c>
      <c r="B347" s="7" t="s">
        <v>23</v>
      </c>
      <c r="C347" s="7" t="s">
        <v>24</v>
      </c>
      <c r="D347" s="7" t="s">
        <v>20</v>
      </c>
      <c r="E347" s="55">
        <v>3.03</v>
      </c>
      <c r="F347" s="55">
        <v>4.37</v>
      </c>
      <c r="G347" s="13">
        <v>3</v>
      </c>
      <c r="H347" s="13">
        <v>22</v>
      </c>
      <c r="I347" s="43">
        <v>15</v>
      </c>
      <c r="J347" s="15">
        <v>46448</v>
      </c>
    </row>
    <row r="348" spans="1:10" x14ac:dyDescent="0.3">
      <c r="A348" s="14">
        <v>46219</v>
      </c>
      <c r="B348" s="7" t="s">
        <v>37</v>
      </c>
      <c r="C348" s="7" t="s">
        <v>24</v>
      </c>
      <c r="D348" s="7" t="s">
        <v>49</v>
      </c>
      <c r="E348" s="54">
        <v>2.39</v>
      </c>
      <c r="F348" s="54">
        <v>3.89</v>
      </c>
      <c r="G348" s="13">
        <v>7</v>
      </c>
      <c r="H348" s="13">
        <v>16</v>
      </c>
      <c r="I348" s="42">
        <v>35</v>
      </c>
      <c r="J348" s="15">
        <v>46541</v>
      </c>
    </row>
    <row r="349" spans="1:10" x14ac:dyDescent="0.3">
      <c r="A349" s="14">
        <v>46220</v>
      </c>
      <c r="B349" s="7" t="s">
        <v>33</v>
      </c>
      <c r="C349" s="7" t="s">
        <v>11</v>
      </c>
      <c r="D349" s="7" t="s">
        <v>12</v>
      </c>
      <c r="E349" s="55">
        <v>1.1599999999999999</v>
      </c>
      <c r="F349" s="55">
        <v>2.02</v>
      </c>
      <c r="G349" s="13">
        <v>44</v>
      </c>
      <c r="H349" s="13">
        <v>91</v>
      </c>
      <c r="I349" s="43">
        <v>35</v>
      </c>
      <c r="J349" s="15">
        <v>46973</v>
      </c>
    </row>
    <row r="350" spans="1:10" x14ac:dyDescent="0.3">
      <c r="A350" s="14">
        <v>46222</v>
      </c>
      <c r="B350" s="7" t="s">
        <v>10</v>
      </c>
      <c r="C350" s="7" t="s">
        <v>11</v>
      </c>
      <c r="D350" s="7" t="s">
        <v>20</v>
      </c>
      <c r="E350" s="54">
        <v>1.85</v>
      </c>
      <c r="F350" s="54">
        <v>2.5099999999999998</v>
      </c>
      <c r="G350" s="13">
        <v>21</v>
      </c>
      <c r="H350" s="13">
        <v>40</v>
      </c>
      <c r="I350" s="42">
        <v>35</v>
      </c>
      <c r="J350" s="15">
        <v>46523</v>
      </c>
    </row>
    <row r="351" spans="1:10" x14ac:dyDescent="0.3">
      <c r="A351" s="14">
        <v>46222</v>
      </c>
      <c r="B351" s="7" t="s">
        <v>27</v>
      </c>
      <c r="C351" s="7" t="s">
        <v>28</v>
      </c>
      <c r="D351" s="7" t="s">
        <v>26</v>
      </c>
      <c r="E351" s="55">
        <v>3.92</v>
      </c>
      <c r="F351" s="55">
        <v>5.92</v>
      </c>
      <c r="G351" s="13">
        <v>8</v>
      </c>
      <c r="H351" s="13">
        <v>28</v>
      </c>
      <c r="I351" s="43">
        <v>15</v>
      </c>
      <c r="J351" s="15">
        <v>46852</v>
      </c>
    </row>
    <row r="352" spans="1:10" x14ac:dyDescent="0.3">
      <c r="A352" s="14">
        <v>46222</v>
      </c>
      <c r="B352" s="7" t="s">
        <v>10</v>
      </c>
      <c r="C352" s="7" t="s">
        <v>11</v>
      </c>
      <c r="D352" s="7" t="s">
        <v>26</v>
      </c>
      <c r="E352" s="54">
        <v>1.85</v>
      </c>
      <c r="F352" s="54">
        <v>2.5099999999999998</v>
      </c>
      <c r="G352" s="13">
        <v>17</v>
      </c>
      <c r="H352" s="13">
        <v>24</v>
      </c>
      <c r="I352" s="42">
        <v>35</v>
      </c>
      <c r="J352" s="15">
        <v>46394</v>
      </c>
    </row>
    <row r="353" spans="1:10" x14ac:dyDescent="0.3">
      <c r="A353" s="14">
        <v>46223</v>
      </c>
      <c r="B353" s="7" t="s">
        <v>40</v>
      </c>
      <c r="C353" s="7" t="s">
        <v>41</v>
      </c>
      <c r="D353" s="7" t="s">
        <v>34</v>
      </c>
      <c r="E353" s="55">
        <v>1.81</v>
      </c>
      <c r="F353" s="55">
        <v>3.15</v>
      </c>
      <c r="G353" s="13">
        <v>7</v>
      </c>
      <c r="H353" s="13">
        <v>7</v>
      </c>
      <c r="I353" s="43">
        <v>15</v>
      </c>
      <c r="J353" s="15">
        <v>46670</v>
      </c>
    </row>
    <row r="354" spans="1:10" x14ac:dyDescent="0.3">
      <c r="A354" s="14">
        <v>46223</v>
      </c>
      <c r="B354" s="7" t="s">
        <v>48</v>
      </c>
      <c r="C354" s="7" t="s">
        <v>43</v>
      </c>
      <c r="D354" s="7" t="s">
        <v>31</v>
      </c>
      <c r="E354" s="54">
        <v>3.19</v>
      </c>
      <c r="F354" s="54">
        <v>4.88</v>
      </c>
      <c r="G354" s="13">
        <v>12</v>
      </c>
      <c r="H354" s="13">
        <v>38</v>
      </c>
      <c r="I354" s="42">
        <v>20</v>
      </c>
      <c r="J354" s="15">
        <v>47051</v>
      </c>
    </row>
    <row r="355" spans="1:10" x14ac:dyDescent="0.3">
      <c r="A355" s="14">
        <v>46224</v>
      </c>
      <c r="B355" s="7" t="s">
        <v>48</v>
      </c>
      <c r="C355" s="7" t="s">
        <v>43</v>
      </c>
      <c r="D355" s="7" t="s">
        <v>34</v>
      </c>
      <c r="E355" s="55">
        <v>3.19</v>
      </c>
      <c r="F355" s="55">
        <v>4.88</v>
      </c>
      <c r="G355" s="13">
        <v>12</v>
      </c>
      <c r="H355" s="13">
        <v>50</v>
      </c>
      <c r="I355" s="43">
        <v>20</v>
      </c>
      <c r="J355" s="15">
        <v>46750</v>
      </c>
    </row>
    <row r="356" spans="1:10" x14ac:dyDescent="0.3">
      <c r="A356" s="14">
        <v>46225</v>
      </c>
      <c r="B356" s="7" t="s">
        <v>57</v>
      </c>
      <c r="C356" s="7" t="s">
        <v>19</v>
      </c>
      <c r="D356" s="7" t="s">
        <v>20</v>
      </c>
      <c r="E356" s="54">
        <v>1.23</v>
      </c>
      <c r="F356" s="54">
        <v>1.93</v>
      </c>
      <c r="G356" s="13">
        <v>6</v>
      </c>
      <c r="H356" s="13">
        <v>13</v>
      </c>
      <c r="I356" s="42">
        <v>15</v>
      </c>
      <c r="J356" s="15">
        <v>46588</v>
      </c>
    </row>
    <row r="357" spans="1:10" x14ac:dyDescent="0.3">
      <c r="A357" s="14">
        <v>46225</v>
      </c>
      <c r="B357" s="7" t="s">
        <v>35</v>
      </c>
      <c r="C357" s="7" t="s">
        <v>36</v>
      </c>
      <c r="D357" s="7" t="s">
        <v>49</v>
      </c>
      <c r="E357" s="55">
        <v>3.23</v>
      </c>
      <c r="F357" s="55">
        <v>5.0199999999999996</v>
      </c>
      <c r="G357" s="13">
        <v>11</v>
      </c>
      <c r="H357" s="13">
        <v>50</v>
      </c>
      <c r="I357" s="43">
        <v>20</v>
      </c>
      <c r="J357" s="15">
        <v>46836</v>
      </c>
    </row>
    <row r="358" spans="1:10" x14ac:dyDescent="0.3">
      <c r="A358" s="14">
        <v>46227</v>
      </c>
      <c r="B358" s="7" t="s">
        <v>47</v>
      </c>
      <c r="C358" s="7" t="s">
        <v>43</v>
      </c>
      <c r="D358" s="7" t="s">
        <v>20</v>
      </c>
      <c r="E358" s="54">
        <v>4.33</v>
      </c>
      <c r="F358" s="54">
        <v>7.26</v>
      </c>
      <c r="G358" s="13">
        <v>6</v>
      </c>
      <c r="H358" s="13">
        <v>22</v>
      </c>
      <c r="I358" s="42">
        <v>15</v>
      </c>
      <c r="J358" s="15">
        <v>46607</v>
      </c>
    </row>
    <row r="359" spans="1:10" x14ac:dyDescent="0.3">
      <c r="A359" s="14">
        <v>46227</v>
      </c>
      <c r="B359" s="7" t="s">
        <v>21</v>
      </c>
      <c r="C359" s="7" t="s">
        <v>22</v>
      </c>
      <c r="D359" s="7" t="s">
        <v>15</v>
      </c>
      <c r="E359" s="55">
        <v>1.76</v>
      </c>
      <c r="F359" s="55">
        <v>2.82</v>
      </c>
      <c r="G359" s="13">
        <v>22</v>
      </c>
      <c r="H359" s="13">
        <v>32</v>
      </c>
      <c r="I359" s="43">
        <v>35</v>
      </c>
      <c r="J359" s="15">
        <v>47033</v>
      </c>
    </row>
    <row r="360" spans="1:10" x14ac:dyDescent="0.3">
      <c r="A360" s="14">
        <v>46228</v>
      </c>
      <c r="B360" s="7" t="s">
        <v>35</v>
      </c>
      <c r="C360" s="7" t="s">
        <v>36</v>
      </c>
      <c r="D360" s="7" t="s">
        <v>49</v>
      </c>
      <c r="E360" s="54">
        <v>3.23</v>
      </c>
      <c r="F360" s="54">
        <v>5.0199999999999996</v>
      </c>
      <c r="G360" s="13">
        <v>16</v>
      </c>
      <c r="H360" s="13">
        <v>67</v>
      </c>
      <c r="I360" s="42">
        <v>20</v>
      </c>
      <c r="J360" s="15">
        <v>46844</v>
      </c>
    </row>
    <row r="361" spans="1:10" x14ac:dyDescent="0.3">
      <c r="A361" s="14">
        <v>46229</v>
      </c>
      <c r="B361" s="7" t="s">
        <v>37</v>
      </c>
      <c r="C361" s="7" t="s">
        <v>24</v>
      </c>
      <c r="D361" s="7" t="s">
        <v>26</v>
      </c>
      <c r="E361" s="55">
        <v>2.39</v>
      </c>
      <c r="F361" s="55">
        <v>3.89</v>
      </c>
      <c r="G361" s="13">
        <v>8</v>
      </c>
      <c r="H361" s="13">
        <v>40</v>
      </c>
      <c r="I361" s="43">
        <v>35</v>
      </c>
      <c r="J361" s="15">
        <v>46514</v>
      </c>
    </row>
    <row r="362" spans="1:10" x14ac:dyDescent="0.3">
      <c r="A362" s="14">
        <v>46229</v>
      </c>
      <c r="B362" s="7" t="s">
        <v>58</v>
      </c>
      <c r="C362" s="7" t="s">
        <v>30</v>
      </c>
      <c r="D362" s="7" t="s">
        <v>15</v>
      </c>
      <c r="E362" s="54">
        <v>1.87</v>
      </c>
      <c r="F362" s="54">
        <v>3.11</v>
      </c>
      <c r="G362" s="13">
        <v>14</v>
      </c>
      <c r="H362" s="13">
        <v>73</v>
      </c>
      <c r="I362" s="42">
        <v>15</v>
      </c>
      <c r="J362" s="15">
        <v>46662</v>
      </c>
    </row>
    <row r="363" spans="1:10" x14ac:dyDescent="0.3">
      <c r="A363" s="14">
        <v>46229</v>
      </c>
      <c r="B363" s="7" t="s">
        <v>13</v>
      </c>
      <c r="C363" s="7" t="s">
        <v>14</v>
      </c>
      <c r="D363" s="7" t="s">
        <v>12</v>
      </c>
      <c r="E363" s="55">
        <v>1.1499999999999999</v>
      </c>
      <c r="F363" s="55">
        <v>1.95</v>
      </c>
      <c r="G363" s="13">
        <v>7</v>
      </c>
      <c r="H363" s="13">
        <v>15</v>
      </c>
      <c r="I363" s="43">
        <v>15</v>
      </c>
      <c r="J363" s="15">
        <v>46790</v>
      </c>
    </row>
    <row r="364" spans="1:10" x14ac:dyDescent="0.3">
      <c r="A364" s="14">
        <v>46230</v>
      </c>
      <c r="B364" s="7" t="s">
        <v>56</v>
      </c>
      <c r="C364" s="7" t="s">
        <v>41</v>
      </c>
      <c r="D364" s="7" t="s">
        <v>49</v>
      </c>
      <c r="E364" s="54">
        <v>1.71</v>
      </c>
      <c r="F364" s="54">
        <v>2.74</v>
      </c>
      <c r="G364" s="13">
        <v>6</v>
      </c>
      <c r="H364" s="13">
        <v>25</v>
      </c>
      <c r="I364" s="42">
        <v>15</v>
      </c>
      <c r="J364" s="15">
        <v>46813</v>
      </c>
    </row>
    <row r="365" spans="1:10" x14ac:dyDescent="0.3">
      <c r="A365" s="14">
        <v>46230</v>
      </c>
      <c r="B365" s="7" t="s">
        <v>16</v>
      </c>
      <c r="C365" s="7" t="s">
        <v>17</v>
      </c>
      <c r="D365" s="7" t="s">
        <v>15</v>
      </c>
      <c r="E365" s="55">
        <v>0.97</v>
      </c>
      <c r="F365" s="55">
        <v>1.61</v>
      </c>
      <c r="G365" s="13">
        <v>13</v>
      </c>
      <c r="H365" s="13">
        <v>47</v>
      </c>
      <c r="I365" s="43">
        <v>20</v>
      </c>
      <c r="J365" s="15">
        <v>46993</v>
      </c>
    </row>
    <row r="366" spans="1:10" x14ac:dyDescent="0.3">
      <c r="A366" s="14">
        <v>46230</v>
      </c>
      <c r="B366" s="7" t="s">
        <v>16</v>
      </c>
      <c r="C366" s="7" t="s">
        <v>17</v>
      </c>
      <c r="D366" s="7" t="s">
        <v>34</v>
      </c>
      <c r="E366" s="54">
        <v>0.97</v>
      </c>
      <c r="F366" s="54">
        <v>1.61</v>
      </c>
      <c r="G366" s="13">
        <v>9</v>
      </c>
      <c r="H366" s="13">
        <v>19</v>
      </c>
      <c r="I366" s="42">
        <v>20</v>
      </c>
      <c r="J366" s="15">
        <v>46831</v>
      </c>
    </row>
    <row r="367" spans="1:10" x14ac:dyDescent="0.3">
      <c r="A367" s="14">
        <v>46230</v>
      </c>
      <c r="B367" s="7" t="s">
        <v>40</v>
      </c>
      <c r="C367" s="7" t="s">
        <v>41</v>
      </c>
      <c r="D367" s="7" t="s">
        <v>49</v>
      </c>
      <c r="E367" s="55">
        <v>1.81</v>
      </c>
      <c r="F367" s="55">
        <v>3.15</v>
      </c>
      <c r="G367" s="13">
        <v>9</v>
      </c>
      <c r="H367" s="13">
        <v>35</v>
      </c>
      <c r="I367" s="43">
        <v>15</v>
      </c>
      <c r="J367" s="15">
        <v>46604</v>
      </c>
    </row>
    <row r="368" spans="1:10" x14ac:dyDescent="0.3">
      <c r="A368" s="14">
        <v>46230</v>
      </c>
      <c r="B368" s="7" t="s">
        <v>10</v>
      </c>
      <c r="C368" s="7" t="s">
        <v>11</v>
      </c>
      <c r="D368" s="7" t="s">
        <v>34</v>
      </c>
      <c r="E368" s="54">
        <v>1.85</v>
      </c>
      <c r="F368" s="54">
        <v>2.5099999999999998</v>
      </c>
      <c r="G368" s="13">
        <v>31</v>
      </c>
      <c r="H368" s="13">
        <v>111</v>
      </c>
      <c r="I368" s="42">
        <v>35</v>
      </c>
      <c r="J368" s="15">
        <v>46801</v>
      </c>
    </row>
    <row r="369" spans="1:10" x14ac:dyDescent="0.3">
      <c r="A369" s="14">
        <v>46230</v>
      </c>
      <c r="B369" s="7" t="s">
        <v>45</v>
      </c>
      <c r="C369" s="7" t="s">
        <v>46</v>
      </c>
      <c r="D369" s="7" t="s">
        <v>20</v>
      </c>
      <c r="E369" s="55">
        <v>0.39</v>
      </c>
      <c r="F369" s="55">
        <v>0.67</v>
      </c>
      <c r="G369" s="13">
        <v>18</v>
      </c>
      <c r="H369" s="13">
        <v>57</v>
      </c>
      <c r="I369" s="43">
        <v>20</v>
      </c>
      <c r="J369" s="15">
        <v>46562</v>
      </c>
    </row>
    <row r="370" spans="1:10" x14ac:dyDescent="0.3">
      <c r="A370" s="14">
        <v>46230</v>
      </c>
      <c r="B370" s="7" t="s">
        <v>44</v>
      </c>
      <c r="C370" s="7" t="s">
        <v>36</v>
      </c>
      <c r="D370" s="7" t="s">
        <v>15</v>
      </c>
      <c r="E370" s="54">
        <v>1.48</v>
      </c>
      <c r="F370" s="54">
        <v>2.2599999999999998</v>
      </c>
      <c r="G370" s="13">
        <v>15</v>
      </c>
      <c r="H370" s="13">
        <v>21</v>
      </c>
      <c r="I370" s="42">
        <v>20</v>
      </c>
      <c r="J370" s="15">
        <v>46526</v>
      </c>
    </row>
    <row r="371" spans="1:10" x14ac:dyDescent="0.3">
      <c r="A371" s="14">
        <v>46231</v>
      </c>
      <c r="B371" s="7" t="s">
        <v>57</v>
      </c>
      <c r="C371" s="7" t="s">
        <v>19</v>
      </c>
      <c r="D371" s="7" t="s">
        <v>26</v>
      </c>
      <c r="E371" s="55">
        <v>1.23</v>
      </c>
      <c r="F371" s="55">
        <v>1.93</v>
      </c>
      <c r="G371" s="13">
        <v>11</v>
      </c>
      <c r="H371" s="13">
        <v>42</v>
      </c>
      <c r="I371" s="43">
        <v>15</v>
      </c>
      <c r="J371" s="15">
        <v>46498</v>
      </c>
    </row>
    <row r="372" spans="1:10" x14ac:dyDescent="0.3">
      <c r="A372" s="14">
        <v>46231</v>
      </c>
      <c r="B372" s="7" t="s">
        <v>18</v>
      </c>
      <c r="C372" s="7" t="s">
        <v>19</v>
      </c>
      <c r="D372" s="7" t="s">
        <v>26</v>
      </c>
      <c r="E372" s="54">
        <v>1.57</v>
      </c>
      <c r="F372" s="54">
        <v>2.2999999999999998</v>
      </c>
      <c r="G372" s="13">
        <v>7</v>
      </c>
      <c r="H372" s="13">
        <v>30</v>
      </c>
      <c r="I372" s="42">
        <v>20</v>
      </c>
      <c r="J372" s="15">
        <v>46446</v>
      </c>
    </row>
    <row r="373" spans="1:10" x14ac:dyDescent="0.3">
      <c r="A373" s="14">
        <v>46231</v>
      </c>
      <c r="B373" s="7" t="s">
        <v>40</v>
      </c>
      <c r="C373" s="7" t="s">
        <v>41</v>
      </c>
      <c r="D373" s="7" t="s">
        <v>49</v>
      </c>
      <c r="E373" s="55">
        <v>1.81</v>
      </c>
      <c r="F373" s="55">
        <v>3.15</v>
      </c>
      <c r="G373" s="13">
        <v>8</v>
      </c>
      <c r="H373" s="13">
        <v>37</v>
      </c>
      <c r="I373" s="43">
        <v>15</v>
      </c>
      <c r="J373" s="15">
        <v>47044</v>
      </c>
    </row>
    <row r="374" spans="1:10" x14ac:dyDescent="0.3">
      <c r="A374" s="14">
        <v>46232</v>
      </c>
      <c r="B374" s="7" t="s">
        <v>57</v>
      </c>
      <c r="C374" s="7" t="s">
        <v>19</v>
      </c>
      <c r="D374" s="7" t="s">
        <v>15</v>
      </c>
      <c r="E374" s="54">
        <v>1.23</v>
      </c>
      <c r="F374" s="54">
        <v>1.93</v>
      </c>
      <c r="G374" s="13">
        <v>6</v>
      </c>
      <c r="H374" s="13">
        <v>9</v>
      </c>
      <c r="I374" s="42">
        <v>15</v>
      </c>
      <c r="J374" s="15">
        <v>47100</v>
      </c>
    </row>
    <row r="375" spans="1:10" x14ac:dyDescent="0.3">
      <c r="A375" s="14">
        <v>46232</v>
      </c>
      <c r="B375" s="7" t="s">
        <v>52</v>
      </c>
      <c r="C375" s="7" t="s">
        <v>14</v>
      </c>
      <c r="D375" s="7" t="s">
        <v>31</v>
      </c>
      <c r="E375" s="55">
        <v>1.89</v>
      </c>
      <c r="F375" s="55">
        <v>3.03</v>
      </c>
      <c r="G375" s="13">
        <v>18</v>
      </c>
      <c r="H375" s="13">
        <v>47</v>
      </c>
      <c r="I375" s="43">
        <v>35</v>
      </c>
      <c r="J375" s="15">
        <v>46524</v>
      </c>
    </row>
    <row r="376" spans="1:10" x14ac:dyDescent="0.3">
      <c r="A376" s="14">
        <v>46232</v>
      </c>
      <c r="B376" s="7" t="s">
        <v>56</v>
      </c>
      <c r="C376" s="7" t="s">
        <v>41</v>
      </c>
      <c r="D376" s="7" t="s">
        <v>26</v>
      </c>
      <c r="E376" s="54">
        <v>1.71</v>
      </c>
      <c r="F376" s="54">
        <v>2.74</v>
      </c>
      <c r="G376" s="13">
        <v>9</v>
      </c>
      <c r="H376" s="13">
        <v>25</v>
      </c>
      <c r="I376" s="42">
        <v>15</v>
      </c>
      <c r="J376" s="15">
        <v>47046</v>
      </c>
    </row>
    <row r="377" spans="1:10" x14ac:dyDescent="0.3">
      <c r="A377" s="14">
        <v>46233</v>
      </c>
      <c r="B377" s="7" t="s">
        <v>37</v>
      </c>
      <c r="C377" s="7" t="s">
        <v>24</v>
      </c>
      <c r="D377" s="7" t="s">
        <v>15</v>
      </c>
      <c r="E377" s="55">
        <v>2.39</v>
      </c>
      <c r="F377" s="55">
        <v>3.89</v>
      </c>
      <c r="G377" s="13">
        <v>6</v>
      </c>
      <c r="H377" s="13">
        <v>22</v>
      </c>
      <c r="I377" s="43">
        <v>35</v>
      </c>
      <c r="J377" s="15">
        <v>46905</v>
      </c>
    </row>
    <row r="378" spans="1:10" x14ac:dyDescent="0.3">
      <c r="A378" s="14">
        <v>46233</v>
      </c>
      <c r="B378" s="7" t="s">
        <v>37</v>
      </c>
      <c r="C378" s="7" t="s">
        <v>24</v>
      </c>
      <c r="D378" s="7" t="s">
        <v>34</v>
      </c>
      <c r="E378" s="54">
        <v>2.39</v>
      </c>
      <c r="F378" s="54">
        <v>3.89</v>
      </c>
      <c r="G378" s="13">
        <v>14</v>
      </c>
      <c r="H378" s="13">
        <v>49</v>
      </c>
      <c r="I378" s="42">
        <v>35</v>
      </c>
      <c r="J378" s="15">
        <v>46922</v>
      </c>
    </row>
    <row r="379" spans="1:10" x14ac:dyDescent="0.3">
      <c r="A379" s="14">
        <v>46233</v>
      </c>
      <c r="B379" s="7" t="s">
        <v>56</v>
      </c>
      <c r="C379" s="7" t="s">
        <v>41</v>
      </c>
      <c r="D379" s="7" t="s">
        <v>31</v>
      </c>
      <c r="E379" s="55">
        <v>1.71</v>
      </c>
      <c r="F379" s="55">
        <v>2.74</v>
      </c>
      <c r="G379" s="13">
        <v>6</v>
      </c>
      <c r="H379" s="13">
        <v>24</v>
      </c>
      <c r="I379" s="43">
        <v>15</v>
      </c>
      <c r="J379" s="15">
        <v>46645</v>
      </c>
    </row>
    <row r="380" spans="1:10" x14ac:dyDescent="0.3">
      <c r="A380" s="14">
        <v>46234</v>
      </c>
      <c r="B380" s="7" t="s">
        <v>37</v>
      </c>
      <c r="C380" s="7" t="s">
        <v>24</v>
      </c>
      <c r="D380" s="7" t="s">
        <v>15</v>
      </c>
      <c r="E380" s="54">
        <v>2.39</v>
      </c>
      <c r="F380" s="54">
        <v>3.89</v>
      </c>
      <c r="G380" s="13">
        <v>12</v>
      </c>
      <c r="H380" s="13">
        <v>41</v>
      </c>
      <c r="I380" s="42">
        <v>35</v>
      </c>
      <c r="J380" s="15">
        <v>46725</v>
      </c>
    </row>
    <row r="381" spans="1:10" x14ac:dyDescent="0.3">
      <c r="A381" s="14">
        <v>46235</v>
      </c>
      <c r="B381" s="7" t="s">
        <v>27</v>
      </c>
      <c r="C381" s="7" t="s">
        <v>28</v>
      </c>
      <c r="D381" s="7" t="s">
        <v>26</v>
      </c>
      <c r="E381" s="55">
        <v>3.92</v>
      </c>
      <c r="F381" s="55">
        <v>5.92</v>
      </c>
      <c r="G381" s="13">
        <v>12</v>
      </c>
      <c r="H381" s="13">
        <v>46</v>
      </c>
      <c r="I381" s="43">
        <v>15</v>
      </c>
      <c r="J381" s="15">
        <v>46656</v>
      </c>
    </row>
    <row r="382" spans="1:10" x14ac:dyDescent="0.3">
      <c r="A382" s="14">
        <v>46235</v>
      </c>
      <c r="B382" s="7" t="s">
        <v>33</v>
      </c>
      <c r="C382" s="7" t="s">
        <v>11</v>
      </c>
      <c r="D382" s="7" t="s">
        <v>26</v>
      </c>
      <c r="E382" s="54">
        <v>1.1599999999999999</v>
      </c>
      <c r="F382" s="54">
        <v>2.02</v>
      </c>
      <c r="G382" s="13">
        <v>44</v>
      </c>
      <c r="H382" s="13">
        <v>59</v>
      </c>
      <c r="I382" s="42">
        <v>35</v>
      </c>
      <c r="J382" s="15">
        <v>46432</v>
      </c>
    </row>
    <row r="383" spans="1:10" x14ac:dyDescent="0.3">
      <c r="A383" s="14">
        <v>46236</v>
      </c>
      <c r="B383" s="7" t="s">
        <v>40</v>
      </c>
      <c r="C383" s="7" t="s">
        <v>41</v>
      </c>
      <c r="D383" s="7" t="s">
        <v>12</v>
      </c>
      <c r="E383" s="55">
        <v>1.81</v>
      </c>
      <c r="F383" s="55">
        <v>3.15</v>
      </c>
      <c r="G383" s="13">
        <v>9</v>
      </c>
      <c r="H383" s="13">
        <v>7</v>
      </c>
      <c r="I383" s="43">
        <v>15</v>
      </c>
      <c r="J383" s="15">
        <v>46563</v>
      </c>
    </row>
    <row r="384" spans="1:10" x14ac:dyDescent="0.3">
      <c r="A384" s="14">
        <v>46236</v>
      </c>
      <c r="B384" s="7" t="s">
        <v>56</v>
      </c>
      <c r="C384" s="7" t="s">
        <v>41</v>
      </c>
      <c r="D384" s="7" t="s">
        <v>20</v>
      </c>
      <c r="E384" s="54">
        <v>1.71</v>
      </c>
      <c r="F384" s="54">
        <v>2.74</v>
      </c>
      <c r="G384" s="13">
        <v>4</v>
      </c>
      <c r="H384" s="13">
        <v>8</v>
      </c>
      <c r="I384" s="42">
        <v>15</v>
      </c>
      <c r="J384" s="15">
        <v>46511</v>
      </c>
    </row>
    <row r="385" spans="1:10" x14ac:dyDescent="0.3">
      <c r="A385" s="14">
        <v>46236</v>
      </c>
      <c r="B385" s="7" t="s">
        <v>54</v>
      </c>
      <c r="C385" s="7" t="s">
        <v>36</v>
      </c>
      <c r="D385" s="7" t="s">
        <v>49</v>
      </c>
      <c r="E385" s="55">
        <v>1.0900000000000001</v>
      </c>
      <c r="F385" s="55">
        <v>1.77</v>
      </c>
      <c r="G385" s="13">
        <v>36</v>
      </c>
      <c r="H385" s="13">
        <v>71</v>
      </c>
      <c r="I385" s="43">
        <v>35</v>
      </c>
      <c r="J385" s="15">
        <v>47055</v>
      </c>
    </row>
    <row r="386" spans="1:10" x14ac:dyDescent="0.3">
      <c r="A386" s="14">
        <v>46236</v>
      </c>
      <c r="B386" s="7" t="s">
        <v>35</v>
      </c>
      <c r="C386" s="7" t="s">
        <v>36</v>
      </c>
      <c r="D386" s="7" t="s">
        <v>15</v>
      </c>
      <c r="E386" s="54">
        <v>3.23</v>
      </c>
      <c r="F386" s="54">
        <v>5.0199999999999996</v>
      </c>
      <c r="G386" s="13">
        <v>12</v>
      </c>
      <c r="H386" s="13">
        <v>67</v>
      </c>
      <c r="I386" s="42">
        <v>20</v>
      </c>
      <c r="J386" s="15">
        <v>46959</v>
      </c>
    </row>
    <row r="387" spans="1:10" x14ac:dyDescent="0.3">
      <c r="A387" s="14">
        <v>46237</v>
      </c>
      <c r="B387" s="7" t="s">
        <v>47</v>
      </c>
      <c r="C387" s="7" t="s">
        <v>43</v>
      </c>
      <c r="D387" s="7" t="s">
        <v>20</v>
      </c>
      <c r="E387" s="55">
        <v>4.33</v>
      </c>
      <c r="F387" s="55">
        <v>7.26</v>
      </c>
      <c r="G387" s="13">
        <v>13</v>
      </c>
      <c r="H387" s="13">
        <v>15</v>
      </c>
      <c r="I387" s="43">
        <v>15</v>
      </c>
      <c r="J387" s="15">
        <v>46448</v>
      </c>
    </row>
    <row r="388" spans="1:10" x14ac:dyDescent="0.3">
      <c r="A388" s="14">
        <v>46238</v>
      </c>
      <c r="B388" s="7" t="s">
        <v>58</v>
      </c>
      <c r="C388" s="7" t="s">
        <v>30</v>
      </c>
      <c r="D388" s="7" t="s">
        <v>31</v>
      </c>
      <c r="E388" s="54">
        <v>1.87</v>
      </c>
      <c r="F388" s="54">
        <v>3.11</v>
      </c>
      <c r="G388" s="13">
        <v>17</v>
      </c>
      <c r="H388" s="13">
        <v>40</v>
      </c>
      <c r="I388" s="42">
        <v>15</v>
      </c>
      <c r="J388" s="15">
        <v>46896</v>
      </c>
    </row>
    <row r="389" spans="1:10" x14ac:dyDescent="0.3">
      <c r="A389" s="14">
        <v>46239</v>
      </c>
      <c r="B389" s="7" t="s">
        <v>50</v>
      </c>
      <c r="C389" s="7" t="s">
        <v>17</v>
      </c>
      <c r="D389" s="7" t="s">
        <v>26</v>
      </c>
      <c r="E389" s="55">
        <v>0.85</v>
      </c>
      <c r="F389" s="55">
        <v>1.1499999999999999</v>
      </c>
      <c r="G389" s="13">
        <v>14</v>
      </c>
      <c r="H389" s="13">
        <v>69</v>
      </c>
      <c r="I389" s="43">
        <v>20</v>
      </c>
      <c r="J389" s="15">
        <v>47072</v>
      </c>
    </row>
    <row r="390" spans="1:10" x14ac:dyDescent="0.3">
      <c r="A390" s="14">
        <v>46240</v>
      </c>
      <c r="B390" s="7" t="s">
        <v>55</v>
      </c>
      <c r="C390" s="7" t="s">
        <v>41</v>
      </c>
      <c r="D390" s="7" t="s">
        <v>34</v>
      </c>
      <c r="E390" s="54">
        <v>2.25</v>
      </c>
      <c r="F390" s="54">
        <v>3.07</v>
      </c>
      <c r="G390" s="13">
        <v>3</v>
      </c>
      <c r="H390" s="13">
        <v>21</v>
      </c>
      <c r="I390" s="42">
        <v>15</v>
      </c>
      <c r="J390" s="15">
        <v>46516</v>
      </c>
    </row>
    <row r="391" spans="1:10" x14ac:dyDescent="0.3">
      <c r="A391" s="14">
        <v>46240</v>
      </c>
      <c r="B391" s="7" t="s">
        <v>40</v>
      </c>
      <c r="C391" s="7" t="s">
        <v>41</v>
      </c>
      <c r="D391" s="7" t="s">
        <v>12</v>
      </c>
      <c r="E391" s="55">
        <v>1.81</v>
      </c>
      <c r="F391" s="55">
        <v>3.15</v>
      </c>
      <c r="G391" s="13">
        <v>10</v>
      </c>
      <c r="H391" s="13">
        <v>31</v>
      </c>
      <c r="I391" s="43">
        <v>15</v>
      </c>
      <c r="J391" s="15">
        <v>46460</v>
      </c>
    </row>
    <row r="392" spans="1:10" x14ac:dyDescent="0.3">
      <c r="A392" s="14">
        <v>46241</v>
      </c>
      <c r="B392" s="7" t="s">
        <v>21</v>
      </c>
      <c r="C392" s="7" t="s">
        <v>22</v>
      </c>
      <c r="D392" s="7" t="s">
        <v>26</v>
      </c>
      <c r="E392" s="54">
        <v>1.76</v>
      </c>
      <c r="F392" s="54">
        <v>2.82</v>
      </c>
      <c r="G392" s="13">
        <v>30</v>
      </c>
      <c r="H392" s="13">
        <v>75</v>
      </c>
      <c r="I392" s="42">
        <v>35</v>
      </c>
      <c r="J392" s="15">
        <v>46583</v>
      </c>
    </row>
    <row r="393" spans="1:10" x14ac:dyDescent="0.3">
      <c r="A393" s="14">
        <v>46241</v>
      </c>
      <c r="B393" s="7" t="s">
        <v>27</v>
      </c>
      <c r="C393" s="7" t="s">
        <v>28</v>
      </c>
      <c r="D393" s="7" t="s">
        <v>15</v>
      </c>
      <c r="E393" s="55">
        <v>3.92</v>
      </c>
      <c r="F393" s="55">
        <v>5.92</v>
      </c>
      <c r="G393" s="13">
        <v>5</v>
      </c>
      <c r="H393" s="13">
        <v>4</v>
      </c>
      <c r="I393" s="43">
        <v>15</v>
      </c>
      <c r="J393" s="15">
        <v>46993</v>
      </c>
    </row>
    <row r="394" spans="1:10" x14ac:dyDescent="0.3">
      <c r="A394" s="14">
        <v>46242</v>
      </c>
      <c r="B394" s="7" t="s">
        <v>29</v>
      </c>
      <c r="C394" s="7" t="s">
        <v>30</v>
      </c>
      <c r="D394" s="7" t="s">
        <v>26</v>
      </c>
      <c r="E394" s="54">
        <v>2.89</v>
      </c>
      <c r="F394" s="54">
        <v>4.4400000000000004</v>
      </c>
      <c r="G394" s="13">
        <v>14</v>
      </c>
      <c r="H394" s="13">
        <v>10</v>
      </c>
      <c r="I394" s="42">
        <v>20</v>
      </c>
      <c r="J394" s="15">
        <v>46829</v>
      </c>
    </row>
    <row r="395" spans="1:10" x14ac:dyDescent="0.3">
      <c r="A395" s="14">
        <v>46242</v>
      </c>
      <c r="B395" s="7" t="s">
        <v>54</v>
      </c>
      <c r="C395" s="7" t="s">
        <v>36</v>
      </c>
      <c r="D395" s="7" t="s">
        <v>12</v>
      </c>
      <c r="E395" s="55">
        <v>1.0900000000000001</v>
      </c>
      <c r="F395" s="55">
        <v>1.77</v>
      </c>
      <c r="G395" s="13">
        <v>26</v>
      </c>
      <c r="H395" s="13">
        <v>119</v>
      </c>
      <c r="I395" s="43">
        <v>35</v>
      </c>
      <c r="J395" s="15">
        <v>46496</v>
      </c>
    </row>
    <row r="396" spans="1:10" x14ac:dyDescent="0.3">
      <c r="A396" s="14">
        <v>46242</v>
      </c>
      <c r="B396" s="7" t="s">
        <v>48</v>
      </c>
      <c r="C396" s="7" t="s">
        <v>43</v>
      </c>
      <c r="D396" s="7" t="s">
        <v>49</v>
      </c>
      <c r="E396" s="54">
        <v>3.19</v>
      </c>
      <c r="F396" s="54">
        <v>4.88</v>
      </c>
      <c r="G396" s="13">
        <v>11</v>
      </c>
      <c r="H396" s="13">
        <v>51</v>
      </c>
      <c r="I396" s="42">
        <v>20</v>
      </c>
      <c r="J396" s="15">
        <v>46443</v>
      </c>
    </row>
    <row r="397" spans="1:10" x14ac:dyDescent="0.3">
      <c r="A397" s="14">
        <v>46243</v>
      </c>
      <c r="B397" s="7" t="s">
        <v>35</v>
      </c>
      <c r="C397" s="7" t="s">
        <v>36</v>
      </c>
      <c r="D397" s="7" t="s">
        <v>26</v>
      </c>
      <c r="E397" s="55">
        <v>3.23</v>
      </c>
      <c r="F397" s="55">
        <v>5.0199999999999996</v>
      </c>
      <c r="G397" s="13">
        <v>16</v>
      </c>
      <c r="H397" s="13">
        <v>62</v>
      </c>
      <c r="I397" s="43">
        <v>20</v>
      </c>
      <c r="J397" s="15">
        <v>46398</v>
      </c>
    </row>
    <row r="398" spans="1:10" x14ac:dyDescent="0.3">
      <c r="A398" s="14">
        <v>46243</v>
      </c>
      <c r="B398" s="7" t="s">
        <v>48</v>
      </c>
      <c r="C398" s="7" t="s">
        <v>43</v>
      </c>
      <c r="D398" s="7" t="s">
        <v>26</v>
      </c>
      <c r="E398" s="54">
        <v>3.19</v>
      </c>
      <c r="F398" s="54">
        <v>4.88</v>
      </c>
      <c r="G398" s="13">
        <v>8</v>
      </c>
      <c r="H398" s="13">
        <v>40</v>
      </c>
      <c r="I398" s="42">
        <v>20</v>
      </c>
      <c r="J398" s="15">
        <v>46458</v>
      </c>
    </row>
    <row r="399" spans="1:10" x14ac:dyDescent="0.3">
      <c r="A399" s="14">
        <v>46244</v>
      </c>
      <c r="B399" s="7" t="s">
        <v>37</v>
      </c>
      <c r="C399" s="7" t="s">
        <v>24</v>
      </c>
      <c r="D399" s="7" t="s">
        <v>12</v>
      </c>
      <c r="E399" s="55">
        <v>2.39</v>
      </c>
      <c r="F399" s="55">
        <v>3.89</v>
      </c>
      <c r="G399" s="13">
        <v>6</v>
      </c>
      <c r="H399" s="13">
        <v>54</v>
      </c>
      <c r="I399" s="43">
        <v>35</v>
      </c>
      <c r="J399" s="15">
        <v>46426</v>
      </c>
    </row>
    <row r="400" spans="1:10" x14ac:dyDescent="0.3">
      <c r="A400" s="14">
        <v>46244</v>
      </c>
      <c r="B400" s="7" t="s">
        <v>16</v>
      </c>
      <c r="C400" s="7" t="s">
        <v>17</v>
      </c>
      <c r="D400" s="7" t="s">
        <v>31</v>
      </c>
      <c r="E400" s="54">
        <v>0.97</v>
      </c>
      <c r="F400" s="54">
        <v>1.61</v>
      </c>
      <c r="G400" s="13">
        <v>8</v>
      </c>
      <c r="H400" s="13">
        <v>53</v>
      </c>
      <c r="I400" s="42">
        <v>20</v>
      </c>
      <c r="J400" s="15">
        <v>46830</v>
      </c>
    </row>
    <row r="401" spans="1:10" x14ac:dyDescent="0.3">
      <c r="A401" s="14">
        <v>46244</v>
      </c>
      <c r="B401" s="7" t="s">
        <v>39</v>
      </c>
      <c r="C401" s="7" t="s">
        <v>14</v>
      </c>
      <c r="D401" s="7" t="s">
        <v>49</v>
      </c>
      <c r="E401" s="55">
        <v>2.58</v>
      </c>
      <c r="F401" s="55">
        <v>4.3899999999999997</v>
      </c>
      <c r="G401" s="13">
        <v>23</v>
      </c>
      <c r="H401" s="13">
        <v>23</v>
      </c>
      <c r="I401" s="43">
        <v>35</v>
      </c>
      <c r="J401" s="15">
        <v>47031</v>
      </c>
    </row>
    <row r="402" spans="1:10" x14ac:dyDescent="0.3">
      <c r="A402" s="14">
        <v>46245</v>
      </c>
      <c r="B402" s="7" t="s">
        <v>39</v>
      </c>
      <c r="C402" s="7" t="s">
        <v>14</v>
      </c>
      <c r="D402" s="7" t="s">
        <v>15</v>
      </c>
      <c r="E402" s="54">
        <v>2.58</v>
      </c>
      <c r="F402" s="54">
        <v>4.3899999999999997</v>
      </c>
      <c r="G402" s="13">
        <v>27</v>
      </c>
      <c r="H402" s="13">
        <v>88</v>
      </c>
      <c r="I402" s="42">
        <v>35</v>
      </c>
      <c r="J402" s="15">
        <v>46390</v>
      </c>
    </row>
    <row r="403" spans="1:10" x14ac:dyDescent="0.3">
      <c r="A403" s="14">
        <v>46245</v>
      </c>
      <c r="B403" s="7" t="s">
        <v>37</v>
      </c>
      <c r="C403" s="7" t="s">
        <v>24</v>
      </c>
      <c r="D403" s="7" t="s">
        <v>12</v>
      </c>
      <c r="E403" s="55">
        <v>2.39</v>
      </c>
      <c r="F403" s="55">
        <v>3.89</v>
      </c>
      <c r="G403" s="13">
        <v>11</v>
      </c>
      <c r="H403" s="13">
        <v>7</v>
      </c>
      <c r="I403" s="43">
        <v>35</v>
      </c>
      <c r="J403" s="15">
        <v>46917</v>
      </c>
    </row>
    <row r="404" spans="1:10" x14ac:dyDescent="0.3">
      <c r="A404" s="14">
        <v>46245</v>
      </c>
      <c r="B404" s="7" t="s">
        <v>39</v>
      </c>
      <c r="C404" s="7" t="s">
        <v>14</v>
      </c>
      <c r="D404" s="7" t="s">
        <v>20</v>
      </c>
      <c r="E404" s="54">
        <v>2.58</v>
      </c>
      <c r="F404" s="54">
        <v>4.3899999999999997</v>
      </c>
      <c r="G404" s="13">
        <v>18</v>
      </c>
      <c r="H404" s="13">
        <v>85</v>
      </c>
      <c r="I404" s="42">
        <v>35</v>
      </c>
      <c r="J404" s="15">
        <v>46725</v>
      </c>
    </row>
    <row r="405" spans="1:10" x14ac:dyDescent="0.3">
      <c r="A405" s="14">
        <v>46245</v>
      </c>
      <c r="B405" s="7" t="s">
        <v>57</v>
      </c>
      <c r="C405" s="7" t="s">
        <v>19</v>
      </c>
      <c r="D405" s="7" t="s">
        <v>12</v>
      </c>
      <c r="E405" s="55">
        <v>1.23</v>
      </c>
      <c r="F405" s="55">
        <v>1.93</v>
      </c>
      <c r="G405" s="13">
        <v>5</v>
      </c>
      <c r="H405" s="13">
        <v>14</v>
      </c>
      <c r="I405" s="43">
        <v>15</v>
      </c>
      <c r="J405" s="15">
        <v>47114</v>
      </c>
    </row>
    <row r="406" spans="1:10" x14ac:dyDescent="0.3">
      <c r="A406" s="14">
        <v>46246</v>
      </c>
      <c r="B406" s="7" t="s">
        <v>51</v>
      </c>
      <c r="C406" s="7" t="s">
        <v>28</v>
      </c>
      <c r="D406" s="7" t="s">
        <v>34</v>
      </c>
      <c r="E406" s="54">
        <v>3.42</v>
      </c>
      <c r="F406" s="54">
        <v>5.27</v>
      </c>
      <c r="G406" s="13">
        <v>15</v>
      </c>
      <c r="H406" s="13">
        <v>93</v>
      </c>
      <c r="I406" s="42">
        <v>35</v>
      </c>
      <c r="J406" s="15">
        <v>46698</v>
      </c>
    </row>
    <row r="407" spans="1:10" x14ac:dyDescent="0.3">
      <c r="A407" s="14">
        <v>46248</v>
      </c>
      <c r="B407" s="7" t="s">
        <v>42</v>
      </c>
      <c r="C407" s="7" t="s">
        <v>43</v>
      </c>
      <c r="D407" s="7" t="s">
        <v>49</v>
      </c>
      <c r="E407" s="55">
        <v>1.95</v>
      </c>
      <c r="F407" s="55">
        <v>3.09</v>
      </c>
      <c r="G407" s="13">
        <v>17</v>
      </c>
      <c r="H407" s="13">
        <v>47</v>
      </c>
      <c r="I407" s="43">
        <v>35</v>
      </c>
      <c r="J407" s="15">
        <v>46648</v>
      </c>
    </row>
    <row r="408" spans="1:10" x14ac:dyDescent="0.3">
      <c r="A408" s="14">
        <v>46248</v>
      </c>
      <c r="B408" s="7" t="s">
        <v>33</v>
      </c>
      <c r="C408" s="7" t="s">
        <v>11</v>
      </c>
      <c r="D408" s="7" t="s">
        <v>26</v>
      </c>
      <c r="E408" s="54">
        <v>1.1599999999999999</v>
      </c>
      <c r="F408" s="54">
        <v>2.02</v>
      </c>
      <c r="G408" s="13">
        <v>25</v>
      </c>
      <c r="H408" s="13">
        <v>30</v>
      </c>
      <c r="I408" s="42">
        <v>35</v>
      </c>
      <c r="J408" s="15">
        <v>46425</v>
      </c>
    </row>
    <row r="409" spans="1:10" x14ac:dyDescent="0.3">
      <c r="A409" s="14">
        <v>46249</v>
      </c>
      <c r="B409" s="7" t="s">
        <v>57</v>
      </c>
      <c r="C409" s="7" t="s">
        <v>19</v>
      </c>
      <c r="D409" s="7" t="s">
        <v>31</v>
      </c>
      <c r="E409" s="55">
        <v>1.23</v>
      </c>
      <c r="F409" s="55">
        <v>1.93</v>
      </c>
      <c r="G409" s="13">
        <v>9</v>
      </c>
      <c r="H409" s="13">
        <v>7</v>
      </c>
      <c r="I409" s="43">
        <v>15</v>
      </c>
      <c r="J409" s="15">
        <v>46490</v>
      </c>
    </row>
    <row r="410" spans="1:10" x14ac:dyDescent="0.3">
      <c r="A410" s="14">
        <v>46249</v>
      </c>
      <c r="B410" s="7" t="s">
        <v>42</v>
      </c>
      <c r="C410" s="7" t="s">
        <v>43</v>
      </c>
      <c r="D410" s="7" t="s">
        <v>12</v>
      </c>
      <c r="E410" s="54">
        <v>1.95</v>
      </c>
      <c r="F410" s="54">
        <v>3.09</v>
      </c>
      <c r="G410" s="13">
        <v>13</v>
      </c>
      <c r="H410" s="13">
        <v>43</v>
      </c>
      <c r="I410" s="42">
        <v>35</v>
      </c>
      <c r="J410" s="15">
        <v>47058</v>
      </c>
    </row>
    <row r="411" spans="1:10" x14ac:dyDescent="0.3">
      <c r="A411" s="14">
        <v>46249</v>
      </c>
      <c r="B411" s="7" t="s">
        <v>54</v>
      </c>
      <c r="C411" s="7" t="s">
        <v>36</v>
      </c>
      <c r="D411" s="7" t="s">
        <v>15</v>
      </c>
      <c r="E411" s="55">
        <v>1.0900000000000001</v>
      </c>
      <c r="F411" s="55">
        <v>1.77</v>
      </c>
      <c r="G411" s="13">
        <v>34</v>
      </c>
      <c r="H411" s="13">
        <v>92</v>
      </c>
      <c r="I411" s="43">
        <v>35</v>
      </c>
      <c r="J411" s="15">
        <v>46664</v>
      </c>
    </row>
    <row r="412" spans="1:10" x14ac:dyDescent="0.3">
      <c r="A412" s="14">
        <v>46249</v>
      </c>
      <c r="B412" s="7" t="s">
        <v>37</v>
      </c>
      <c r="C412" s="7" t="s">
        <v>24</v>
      </c>
      <c r="D412" s="7" t="s">
        <v>34</v>
      </c>
      <c r="E412" s="54">
        <v>2.39</v>
      </c>
      <c r="F412" s="54">
        <v>3.89</v>
      </c>
      <c r="G412" s="13">
        <v>12</v>
      </c>
      <c r="H412" s="13">
        <v>8</v>
      </c>
      <c r="I412" s="42">
        <v>35</v>
      </c>
      <c r="J412" s="15">
        <v>46582</v>
      </c>
    </row>
    <row r="413" spans="1:10" x14ac:dyDescent="0.3">
      <c r="A413" s="14">
        <v>46250</v>
      </c>
      <c r="B413" s="7" t="s">
        <v>33</v>
      </c>
      <c r="C413" s="7" t="s">
        <v>11</v>
      </c>
      <c r="D413" s="7" t="s">
        <v>26</v>
      </c>
      <c r="E413" s="55">
        <v>1.1599999999999999</v>
      </c>
      <c r="F413" s="55">
        <v>2.02</v>
      </c>
      <c r="G413" s="13">
        <v>43</v>
      </c>
      <c r="H413" s="13">
        <v>152</v>
      </c>
      <c r="I413" s="43">
        <v>35</v>
      </c>
      <c r="J413" s="15">
        <v>46886</v>
      </c>
    </row>
    <row r="414" spans="1:10" x14ac:dyDescent="0.3">
      <c r="A414" s="14">
        <v>46251</v>
      </c>
      <c r="B414" s="7" t="s">
        <v>54</v>
      </c>
      <c r="C414" s="7" t="s">
        <v>36</v>
      </c>
      <c r="D414" s="7" t="s">
        <v>34</v>
      </c>
      <c r="E414" s="54">
        <v>1.0900000000000001</v>
      </c>
      <c r="F414" s="54">
        <v>1.77</v>
      </c>
      <c r="G414" s="13">
        <v>23</v>
      </c>
      <c r="H414" s="13">
        <v>83</v>
      </c>
      <c r="I414" s="42">
        <v>35</v>
      </c>
      <c r="J414" s="15">
        <v>46803</v>
      </c>
    </row>
    <row r="415" spans="1:10" x14ac:dyDescent="0.3">
      <c r="A415" s="14">
        <v>46251</v>
      </c>
      <c r="B415" s="7" t="s">
        <v>42</v>
      </c>
      <c r="C415" s="7" t="s">
        <v>43</v>
      </c>
      <c r="D415" s="7" t="s">
        <v>26</v>
      </c>
      <c r="E415" s="55">
        <v>1.95</v>
      </c>
      <c r="F415" s="55">
        <v>3.09</v>
      </c>
      <c r="G415" s="13">
        <v>17</v>
      </c>
      <c r="H415" s="13">
        <v>47</v>
      </c>
      <c r="I415" s="43">
        <v>35</v>
      </c>
      <c r="J415" s="15">
        <v>46931</v>
      </c>
    </row>
    <row r="416" spans="1:10" x14ac:dyDescent="0.3">
      <c r="A416" s="14">
        <v>46252</v>
      </c>
      <c r="B416" s="7" t="s">
        <v>51</v>
      </c>
      <c r="C416" s="7" t="s">
        <v>28</v>
      </c>
      <c r="D416" s="7" t="s">
        <v>15</v>
      </c>
      <c r="E416" s="54">
        <v>3.42</v>
      </c>
      <c r="F416" s="54">
        <v>5.27</v>
      </c>
      <c r="G416" s="13">
        <v>30</v>
      </c>
      <c r="H416" s="13">
        <v>28</v>
      </c>
      <c r="I416" s="42">
        <v>35</v>
      </c>
      <c r="J416" s="15">
        <v>46557</v>
      </c>
    </row>
    <row r="417" spans="1:10" x14ac:dyDescent="0.3">
      <c r="A417" s="14">
        <v>46253</v>
      </c>
      <c r="B417" s="7" t="s">
        <v>18</v>
      </c>
      <c r="C417" s="7" t="s">
        <v>19</v>
      </c>
      <c r="D417" s="7" t="s">
        <v>31</v>
      </c>
      <c r="E417" s="55">
        <v>1.57</v>
      </c>
      <c r="F417" s="55">
        <v>2.2999999999999998</v>
      </c>
      <c r="G417" s="13">
        <v>14</v>
      </c>
      <c r="H417" s="13">
        <v>23</v>
      </c>
      <c r="I417" s="43">
        <v>20</v>
      </c>
      <c r="J417" s="15">
        <v>46706</v>
      </c>
    </row>
    <row r="418" spans="1:10" x14ac:dyDescent="0.3">
      <c r="A418" s="14">
        <v>46254</v>
      </c>
      <c r="B418" s="7" t="s">
        <v>27</v>
      </c>
      <c r="C418" s="7" t="s">
        <v>28</v>
      </c>
      <c r="D418" s="7" t="s">
        <v>26</v>
      </c>
      <c r="E418" s="54">
        <v>3.92</v>
      </c>
      <c r="F418" s="54">
        <v>5.92</v>
      </c>
      <c r="G418" s="13">
        <v>10</v>
      </c>
      <c r="H418" s="13">
        <v>20</v>
      </c>
      <c r="I418" s="42">
        <v>15</v>
      </c>
      <c r="J418" s="15">
        <v>46632</v>
      </c>
    </row>
    <row r="419" spans="1:10" x14ac:dyDescent="0.3">
      <c r="A419" s="14">
        <v>46255</v>
      </c>
      <c r="B419" s="7" t="s">
        <v>27</v>
      </c>
      <c r="C419" s="7" t="s">
        <v>28</v>
      </c>
      <c r="D419" s="7" t="s">
        <v>15</v>
      </c>
      <c r="E419" s="55">
        <v>3.92</v>
      </c>
      <c r="F419" s="55">
        <v>5.92</v>
      </c>
      <c r="G419" s="13">
        <v>11</v>
      </c>
      <c r="H419" s="13">
        <v>46</v>
      </c>
      <c r="I419" s="43">
        <v>15</v>
      </c>
      <c r="J419" s="15">
        <v>46701</v>
      </c>
    </row>
    <row r="420" spans="1:10" x14ac:dyDescent="0.3">
      <c r="A420" s="14">
        <v>46256</v>
      </c>
      <c r="B420" s="7" t="s">
        <v>56</v>
      </c>
      <c r="C420" s="7" t="s">
        <v>41</v>
      </c>
      <c r="D420" s="7" t="s">
        <v>26</v>
      </c>
      <c r="E420" s="54">
        <v>1.71</v>
      </c>
      <c r="F420" s="54">
        <v>2.74</v>
      </c>
      <c r="G420" s="13">
        <v>6</v>
      </c>
      <c r="H420" s="13">
        <v>23</v>
      </c>
      <c r="I420" s="42">
        <v>15</v>
      </c>
      <c r="J420" s="15">
        <v>46993</v>
      </c>
    </row>
    <row r="421" spans="1:10" x14ac:dyDescent="0.3">
      <c r="A421" s="14">
        <v>46257</v>
      </c>
      <c r="B421" s="7" t="s">
        <v>29</v>
      </c>
      <c r="C421" s="7" t="s">
        <v>30</v>
      </c>
      <c r="D421" s="7" t="s">
        <v>49</v>
      </c>
      <c r="E421" s="55">
        <v>2.89</v>
      </c>
      <c r="F421" s="55">
        <v>4.4400000000000004</v>
      </c>
      <c r="G421" s="13">
        <v>20</v>
      </c>
      <c r="H421" s="13">
        <v>76</v>
      </c>
      <c r="I421" s="43">
        <v>20</v>
      </c>
      <c r="J421" s="15">
        <v>46962</v>
      </c>
    </row>
    <row r="422" spans="1:10" x14ac:dyDescent="0.3">
      <c r="A422" s="14">
        <v>46257</v>
      </c>
      <c r="B422" s="7" t="s">
        <v>57</v>
      </c>
      <c r="C422" s="7" t="s">
        <v>19</v>
      </c>
      <c r="D422" s="7" t="s">
        <v>49</v>
      </c>
      <c r="E422" s="54">
        <v>1.23</v>
      </c>
      <c r="F422" s="54">
        <v>1.93</v>
      </c>
      <c r="G422" s="13">
        <v>6</v>
      </c>
      <c r="H422" s="13">
        <v>28</v>
      </c>
      <c r="I422" s="42">
        <v>15</v>
      </c>
      <c r="J422" s="15">
        <v>46870</v>
      </c>
    </row>
    <row r="423" spans="1:10" x14ac:dyDescent="0.3">
      <c r="A423" s="14">
        <v>46258</v>
      </c>
      <c r="B423" s="7" t="s">
        <v>33</v>
      </c>
      <c r="C423" s="7" t="s">
        <v>11</v>
      </c>
      <c r="D423" s="7" t="s">
        <v>26</v>
      </c>
      <c r="E423" s="55">
        <v>1.1599999999999999</v>
      </c>
      <c r="F423" s="55">
        <v>2.02</v>
      </c>
      <c r="G423" s="13">
        <v>45</v>
      </c>
      <c r="H423" s="13">
        <v>154</v>
      </c>
      <c r="I423" s="43">
        <v>35</v>
      </c>
      <c r="J423" s="15">
        <v>46936</v>
      </c>
    </row>
    <row r="424" spans="1:10" x14ac:dyDescent="0.3">
      <c r="A424" s="14">
        <v>46259</v>
      </c>
      <c r="B424" s="7" t="s">
        <v>54</v>
      </c>
      <c r="C424" s="7" t="s">
        <v>36</v>
      </c>
      <c r="D424" s="7" t="s">
        <v>20</v>
      </c>
      <c r="E424" s="54">
        <v>1.0900000000000001</v>
      </c>
      <c r="F424" s="54">
        <v>1.77</v>
      </c>
      <c r="G424" s="13">
        <v>23</v>
      </c>
      <c r="H424" s="13">
        <v>63</v>
      </c>
      <c r="I424" s="42">
        <v>35</v>
      </c>
      <c r="J424" s="15">
        <v>46528</v>
      </c>
    </row>
    <row r="425" spans="1:10" x14ac:dyDescent="0.3">
      <c r="A425" s="14">
        <v>46259</v>
      </c>
      <c r="B425" s="7" t="s">
        <v>52</v>
      </c>
      <c r="C425" s="7" t="s">
        <v>14</v>
      </c>
      <c r="D425" s="7" t="s">
        <v>20</v>
      </c>
      <c r="E425" s="55">
        <v>1.89</v>
      </c>
      <c r="F425" s="55">
        <v>3.03</v>
      </c>
      <c r="G425" s="13">
        <v>28</v>
      </c>
      <c r="H425" s="13">
        <v>31</v>
      </c>
      <c r="I425" s="43">
        <v>35</v>
      </c>
      <c r="J425" s="15">
        <v>47045</v>
      </c>
    </row>
    <row r="426" spans="1:10" x14ac:dyDescent="0.3">
      <c r="A426" s="14">
        <v>46259</v>
      </c>
      <c r="B426" s="7" t="s">
        <v>33</v>
      </c>
      <c r="C426" s="7" t="s">
        <v>11</v>
      </c>
      <c r="D426" s="7" t="s">
        <v>15</v>
      </c>
      <c r="E426" s="54">
        <v>1.1599999999999999</v>
      </c>
      <c r="F426" s="54">
        <v>2.02</v>
      </c>
      <c r="G426" s="13">
        <v>45</v>
      </c>
      <c r="H426" s="13">
        <v>36</v>
      </c>
      <c r="I426" s="42">
        <v>35</v>
      </c>
      <c r="J426" s="15">
        <v>47108</v>
      </c>
    </row>
    <row r="427" spans="1:10" x14ac:dyDescent="0.3">
      <c r="A427" s="14">
        <v>46259</v>
      </c>
      <c r="B427" s="7" t="s">
        <v>33</v>
      </c>
      <c r="C427" s="7" t="s">
        <v>11</v>
      </c>
      <c r="D427" s="7" t="s">
        <v>34</v>
      </c>
      <c r="E427" s="55">
        <v>1.1599999999999999</v>
      </c>
      <c r="F427" s="55">
        <v>2.02</v>
      </c>
      <c r="G427" s="13">
        <v>43</v>
      </c>
      <c r="H427" s="13">
        <v>28</v>
      </c>
      <c r="I427" s="43">
        <v>35</v>
      </c>
      <c r="J427" s="15">
        <v>47086</v>
      </c>
    </row>
    <row r="428" spans="1:10" x14ac:dyDescent="0.3">
      <c r="A428" s="14">
        <v>46259</v>
      </c>
      <c r="B428" s="7" t="s">
        <v>32</v>
      </c>
      <c r="C428" s="7" t="s">
        <v>22</v>
      </c>
      <c r="D428" s="7" t="s">
        <v>34</v>
      </c>
      <c r="E428" s="54">
        <v>2.17</v>
      </c>
      <c r="F428" s="54">
        <v>3.39</v>
      </c>
      <c r="G428" s="13">
        <v>7</v>
      </c>
      <c r="H428" s="13">
        <v>38</v>
      </c>
      <c r="I428" s="42">
        <v>15</v>
      </c>
      <c r="J428" s="15">
        <v>46812</v>
      </c>
    </row>
    <row r="429" spans="1:10" x14ac:dyDescent="0.3">
      <c r="A429" s="14">
        <v>46259</v>
      </c>
      <c r="B429" s="7" t="s">
        <v>21</v>
      </c>
      <c r="C429" s="7" t="s">
        <v>22</v>
      </c>
      <c r="D429" s="7" t="s">
        <v>34</v>
      </c>
      <c r="E429" s="55">
        <v>1.76</v>
      </c>
      <c r="F429" s="55">
        <v>2.82</v>
      </c>
      <c r="G429" s="13">
        <v>16</v>
      </c>
      <c r="H429" s="13">
        <v>116</v>
      </c>
      <c r="I429" s="43">
        <v>35</v>
      </c>
      <c r="J429" s="15">
        <v>46816</v>
      </c>
    </row>
    <row r="430" spans="1:10" x14ac:dyDescent="0.3">
      <c r="A430" s="14">
        <v>46260</v>
      </c>
      <c r="B430" s="7" t="s">
        <v>53</v>
      </c>
      <c r="C430" s="7" t="s">
        <v>30</v>
      </c>
      <c r="D430" s="7" t="s">
        <v>20</v>
      </c>
      <c r="E430" s="54">
        <v>1.04</v>
      </c>
      <c r="F430" s="54">
        <v>1.58</v>
      </c>
      <c r="G430" s="13">
        <v>13</v>
      </c>
      <c r="H430" s="13">
        <v>63</v>
      </c>
      <c r="I430" s="42">
        <v>20</v>
      </c>
      <c r="J430" s="15">
        <v>46800</v>
      </c>
    </row>
    <row r="431" spans="1:10" x14ac:dyDescent="0.3">
      <c r="A431" s="14">
        <v>46260</v>
      </c>
      <c r="B431" s="7" t="s">
        <v>42</v>
      </c>
      <c r="C431" s="7" t="s">
        <v>43</v>
      </c>
      <c r="D431" s="7" t="s">
        <v>12</v>
      </c>
      <c r="E431" s="55">
        <v>1.95</v>
      </c>
      <c r="F431" s="55">
        <v>3.09</v>
      </c>
      <c r="G431" s="13">
        <v>13</v>
      </c>
      <c r="H431" s="13">
        <v>72</v>
      </c>
      <c r="I431" s="43">
        <v>35</v>
      </c>
      <c r="J431" s="15">
        <v>46522</v>
      </c>
    </row>
    <row r="432" spans="1:10" x14ac:dyDescent="0.3">
      <c r="A432" s="14">
        <v>46260</v>
      </c>
      <c r="B432" s="7" t="s">
        <v>48</v>
      </c>
      <c r="C432" s="7" t="s">
        <v>43</v>
      </c>
      <c r="D432" s="7" t="s">
        <v>20</v>
      </c>
      <c r="E432" s="54">
        <v>3.19</v>
      </c>
      <c r="F432" s="54">
        <v>4.88</v>
      </c>
      <c r="G432" s="13">
        <v>8</v>
      </c>
      <c r="H432" s="13">
        <v>32</v>
      </c>
      <c r="I432" s="42">
        <v>20</v>
      </c>
      <c r="J432" s="15">
        <v>46593</v>
      </c>
    </row>
    <row r="433" spans="1:10" x14ac:dyDescent="0.3">
      <c r="A433" s="14">
        <v>46261</v>
      </c>
      <c r="B433" s="7" t="s">
        <v>23</v>
      </c>
      <c r="C433" s="7" t="s">
        <v>24</v>
      </c>
      <c r="D433" s="7" t="s">
        <v>15</v>
      </c>
      <c r="E433" s="55">
        <v>3.03</v>
      </c>
      <c r="F433" s="55">
        <v>4.37</v>
      </c>
      <c r="G433" s="13">
        <v>6</v>
      </c>
      <c r="H433" s="13">
        <v>15</v>
      </c>
      <c r="I433" s="43">
        <v>15</v>
      </c>
      <c r="J433" s="15">
        <v>46705</v>
      </c>
    </row>
    <row r="434" spans="1:10" x14ac:dyDescent="0.3">
      <c r="A434" s="14">
        <v>46261</v>
      </c>
      <c r="B434" s="7" t="s">
        <v>42</v>
      </c>
      <c r="C434" s="7" t="s">
        <v>43</v>
      </c>
      <c r="D434" s="7" t="s">
        <v>31</v>
      </c>
      <c r="E434" s="54">
        <v>1.95</v>
      </c>
      <c r="F434" s="54">
        <v>3.09</v>
      </c>
      <c r="G434" s="13">
        <v>19</v>
      </c>
      <c r="H434" s="13">
        <v>30</v>
      </c>
      <c r="I434" s="42">
        <v>35</v>
      </c>
      <c r="J434" s="15">
        <v>46319</v>
      </c>
    </row>
    <row r="435" spans="1:10" x14ac:dyDescent="0.3">
      <c r="A435" s="14">
        <v>46261</v>
      </c>
      <c r="B435" s="7" t="s">
        <v>40</v>
      </c>
      <c r="C435" s="7" t="s">
        <v>41</v>
      </c>
      <c r="D435" s="7" t="s">
        <v>31</v>
      </c>
      <c r="E435" s="55">
        <v>1.81</v>
      </c>
      <c r="F435" s="55">
        <v>3.15</v>
      </c>
      <c r="G435" s="13">
        <v>6</v>
      </c>
      <c r="H435" s="13">
        <v>4</v>
      </c>
      <c r="I435" s="43">
        <v>15</v>
      </c>
      <c r="J435" s="15">
        <v>46357</v>
      </c>
    </row>
    <row r="436" spans="1:10" x14ac:dyDescent="0.3">
      <c r="A436" s="14">
        <v>46261</v>
      </c>
      <c r="B436" s="7" t="s">
        <v>42</v>
      </c>
      <c r="C436" s="7" t="s">
        <v>43</v>
      </c>
      <c r="D436" s="7" t="s">
        <v>26</v>
      </c>
      <c r="E436" s="54">
        <v>1.95</v>
      </c>
      <c r="F436" s="54">
        <v>3.09</v>
      </c>
      <c r="G436" s="13">
        <v>10</v>
      </c>
      <c r="H436" s="13">
        <v>55</v>
      </c>
      <c r="I436" s="42">
        <v>35</v>
      </c>
      <c r="J436" s="15">
        <v>46686</v>
      </c>
    </row>
    <row r="437" spans="1:10" x14ac:dyDescent="0.3">
      <c r="A437" s="14">
        <v>46261</v>
      </c>
      <c r="B437" s="7" t="s">
        <v>32</v>
      </c>
      <c r="C437" s="7" t="s">
        <v>22</v>
      </c>
      <c r="D437" s="7" t="s">
        <v>34</v>
      </c>
      <c r="E437" s="55">
        <v>2.17</v>
      </c>
      <c r="F437" s="55">
        <v>3.39</v>
      </c>
      <c r="G437" s="13">
        <v>8</v>
      </c>
      <c r="H437" s="13">
        <v>47</v>
      </c>
      <c r="I437" s="43">
        <v>15</v>
      </c>
      <c r="J437" s="15">
        <v>47077</v>
      </c>
    </row>
    <row r="438" spans="1:10" x14ac:dyDescent="0.3">
      <c r="A438" s="14">
        <v>46262</v>
      </c>
      <c r="B438" s="7" t="s">
        <v>35</v>
      </c>
      <c r="C438" s="7" t="s">
        <v>36</v>
      </c>
      <c r="D438" s="7" t="s">
        <v>49</v>
      </c>
      <c r="E438" s="54">
        <v>3.23</v>
      </c>
      <c r="F438" s="54">
        <v>5.0199999999999996</v>
      </c>
      <c r="G438" s="13">
        <v>16</v>
      </c>
      <c r="H438" s="13">
        <v>31</v>
      </c>
      <c r="I438" s="42">
        <v>20</v>
      </c>
      <c r="J438" s="15">
        <v>47091</v>
      </c>
    </row>
    <row r="439" spans="1:10" x14ac:dyDescent="0.3">
      <c r="A439" s="14">
        <v>46263</v>
      </c>
      <c r="B439" s="7" t="s">
        <v>25</v>
      </c>
      <c r="C439" s="7" t="s">
        <v>11</v>
      </c>
      <c r="D439" s="7" t="s">
        <v>49</v>
      </c>
      <c r="E439" s="55">
        <v>1.54</v>
      </c>
      <c r="F439" s="55">
        <v>2.5</v>
      </c>
      <c r="G439" s="13">
        <v>15</v>
      </c>
      <c r="H439" s="13">
        <v>78</v>
      </c>
      <c r="I439" s="43">
        <v>35</v>
      </c>
      <c r="J439" s="15">
        <v>46892</v>
      </c>
    </row>
    <row r="440" spans="1:10" x14ac:dyDescent="0.3">
      <c r="A440" s="14">
        <v>46264</v>
      </c>
      <c r="B440" s="7" t="s">
        <v>44</v>
      </c>
      <c r="C440" s="7" t="s">
        <v>36</v>
      </c>
      <c r="D440" s="7" t="s">
        <v>20</v>
      </c>
      <c r="E440" s="54">
        <v>1.48</v>
      </c>
      <c r="F440" s="54">
        <v>2.2599999999999998</v>
      </c>
      <c r="G440" s="13">
        <v>20</v>
      </c>
      <c r="H440" s="13">
        <v>76</v>
      </c>
      <c r="I440" s="42">
        <v>20</v>
      </c>
      <c r="J440" s="15">
        <v>47106</v>
      </c>
    </row>
    <row r="441" spans="1:10" x14ac:dyDescent="0.3">
      <c r="A441" s="14">
        <v>46264</v>
      </c>
      <c r="B441" s="7" t="s">
        <v>23</v>
      </c>
      <c r="C441" s="7" t="s">
        <v>24</v>
      </c>
      <c r="D441" s="7" t="s">
        <v>49</v>
      </c>
      <c r="E441" s="55">
        <v>3.03</v>
      </c>
      <c r="F441" s="55">
        <v>4.37</v>
      </c>
      <c r="G441" s="13">
        <v>5</v>
      </c>
      <c r="H441" s="13">
        <v>19</v>
      </c>
      <c r="I441" s="43">
        <v>15</v>
      </c>
      <c r="J441" s="15">
        <v>46594</v>
      </c>
    </row>
    <row r="442" spans="1:10" x14ac:dyDescent="0.3">
      <c r="A442" s="14">
        <v>46264</v>
      </c>
      <c r="B442" s="7" t="s">
        <v>21</v>
      </c>
      <c r="C442" s="7" t="s">
        <v>22</v>
      </c>
      <c r="D442" s="7" t="s">
        <v>15</v>
      </c>
      <c r="E442" s="54">
        <v>1.76</v>
      </c>
      <c r="F442" s="54">
        <v>2.82</v>
      </c>
      <c r="G442" s="13">
        <v>27</v>
      </c>
      <c r="H442" s="13">
        <v>107</v>
      </c>
      <c r="I442" s="42">
        <v>35</v>
      </c>
      <c r="J442" s="15">
        <v>46553</v>
      </c>
    </row>
    <row r="443" spans="1:10" x14ac:dyDescent="0.3">
      <c r="A443" s="14">
        <v>46266</v>
      </c>
      <c r="B443" s="7" t="s">
        <v>55</v>
      </c>
      <c r="C443" s="7" t="s">
        <v>41</v>
      </c>
      <c r="D443" s="7" t="s">
        <v>20</v>
      </c>
      <c r="E443" s="55">
        <v>2.25</v>
      </c>
      <c r="F443" s="55">
        <v>3.07</v>
      </c>
      <c r="G443" s="13">
        <v>4</v>
      </c>
      <c r="H443" s="13">
        <v>26</v>
      </c>
      <c r="I443" s="43">
        <v>15</v>
      </c>
      <c r="J443" s="15">
        <v>46531</v>
      </c>
    </row>
    <row r="444" spans="1:10" x14ac:dyDescent="0.3">
      <c r="A444" s="14">
        <v>46267</v>
      </c>
      <c r="B444" s="7" t="s">
        <v>37</v>
      </c>
      <c r="C444" s="7" t="s">
        <v>24</v>
      </c>
      <c r="D444" s="7" t="s">
        <v>15</v>
      </c>
      <c r="E444" s="54">
        <v>2.39</v>
      </c>
      <c r="F444" s="54">
        <v>3.89</v>
      </c>
      <c r="G444" s="13">
        <v>14</v>
      </c>
      <c r="H444" s="13">
        <v>29</v>
      </c>
      <c r="I444" s="42">
        <v>35</v>
      </c>
      <c r="J444" s="15">
        <v>46626</v>
      </c>
    </row>
    <row r="445" spans="1:10" x14ac:dyDescent="0.3">
      <c r="A445" s="14">
        <v>46268</v>
      </c>
      <c r="B445" s="7" t="s">
        <v>35</v>
      </c>
      <c r="C445" s="7" t="s">
        <v>36</v>
      </c>
      <c r="D445" s="7" t="s">
        <v>12</v>
      </c>
      <c r="E445" s="55">
        <v>3.23</v>
      </c>
      <c r="F445" s="55">
        <v>5.0199999999999996</v>
      </c>
      <c r="G445" s="13">
        <v>6</v>
      </c>
      <c r="H445" s="13">
        <v>7</v>
      </c>
      <c r="I445" s="43">
        <v>20</v>
      </c>
      <c r="J445" s="15">
        <v>46323</v>
      </c>
    </row>
    <row r="446" spans="1:10" x14ac:dyDescent="0.3">
      <c r="A446" s="14">
        <v>46268</v>
      </c>
      <c r="B446" s="7" t="s">
        <v>55</v>
      </c>
      <c r="C446" s="7" t="s">
        <v>41</v>
      </c>
      <c r="D446" s="7" t="s">
        <v>20</v>
      </c>
      <c r="E446" s="54">
        <v>2.25</v>
      </c>
      <c r="F446" s="54">
        <v>3.07</v>
      </c>
      <c r="G446" s="13">
        <v>4</v>
      </c>
      <c r="H446" s="13">
        <v>19</v>
      </c>
      <c r="I446" s="42">
        <v>15</v>
      </c>
      <c r="J446" s="15">
        <v>47061</v>
      </c>
    </row>
    <row r="447" spans="1:10" x14ac:dyDescent="0.3">
      <c r="A447" s="14">
        <v>46268</v>
      </c>
      <c r="B447" s="7" t="s">
        <v>58</v>
      </c>
      <c r="C447" s="7" t="s">
        <v>30</v>
      </c>
      <c r="D447" s="7" t="s">
        <v>15</v>
      </c>
      <c r="E447" s="55">
        <v>1.87</v>
      </c>
      <c r="F447" s="55">
        <v>3.11</v>
      </c>
      <c r="G447" s="13">
        <v>16</v>
      </c>
      <c r="H447" s="13">
        <v>73</v>
      </c>
      <c r="I447" s="43">
        <v>15</v>
      </c>
      <c r="J447" s="15">
        <v>47017</v>
      </c>
    </row>
    <row r="448" spans="1:10" x14ac:dyDescent="0.3">
      <c r="A448" s="14">
        <v>46268</v>
      </c>
      <c r="B448" s="7" t="s">
        <v>57</v>
      </c>
      <c r="C448" s="7" t="s">
        <v>19</v>
      </c>
      <c r="D448" s="7" t="s">
        <v>31</v>
      </c>
      <c r="E448" s="54">
        <v>1.23</v>
      </c>
      <c r="F448" s="54">
        <v>1.93</v>
      </c>
      <c r="G448" s="13">
        <v>11</v>
      </c>
      <c r="H448" s="13">
        <v>23</v>
      </c>
      <c r="I448" s="42">
        <v>15</v>
      </c>
      <c r="J448" s="15">
        <v>46491</v>
      </c>
    </row>
    <row r="449" spans="1:10" x14ac:dyDescent="0.3">
      <c r="A449" s="14">
        <v>46268</v>
      </c>
      <c r="B449" s="7" t="s">
        <v>16</v>
      </c>
      <c r="C449" s="7" t="s">
        <v>17</v>
      </c>
      <c r="D449" s="7" t="s">
        <v>26</v>
      </c>
      <c r="E449" s="55">
        <v>0.97</v>
      </c>
      <c r="F449" s="55">
        <v>1.61</v>
      </c>
      <c r="G449" s="13">
        <v>8</v>
      </c>
      <c r="H449" s="13">
        <v>61</v>
      </c>
      <c r="I449" s="43">
        <v>20</v>
      </c>
      <c r="J449" s="15">
        <v>46635</v>
      </c>
    </row>
    <row r="450" spans="1:10" x14ac:dyDescent="0.3">
      <c r="A450" s="14">
        <v>46269</v>
      </c>
      <c r="B450" s="7" t="s">
        <v>37</v>
      </c>
      <c r="C450" s="7" t="s">
        <v>24</v>
      </c>
      <c r="D450" s="7" t="s">
        <v>20</v>
      </c>
      <c r="E450" s="54">
        <v>2.39</v>
      </c>
      <c r="F450" s="54">
        <v>3.89</v>
      </c>
      <c r="G450" s="13">
        <v>10</v>
      </c>
      <c r="H450" s="13">
        <v>11</v>
      </c>
      <c r="I450" s="42">
        <v>35</v>
      </c>
      <c r="J450" s="15">
        <v>46463</v>
      </c>
    </row>
    <row r="451" spans="1:10" x14ac:dyDescent="0.3">
      <c r="A451" s="14">
        <v>46269</v>
      </c>
      <c r="B451" s="7" t="s">
        <v>42</v>
      </c>
      <c r="C451" s="7" t="s">
        <v>43</v>
      </c>
      <c r="D451" s="7" t="s">
        <v>12</v>
      </c>
      <c r="E451" s="55">
        <v>1.95</v>
      </c>
      <c r="F451" s="55">
        <v>3.09</v>
      </c>
      <c r="G451" s="13">
        <v>11</v>
      </c>
      <c r="H451" s="13">
        <v>43</v>
      </c>
      <c r="I451" s="43">
        <v>35</v>
      </c>
      <c r="J451" s="15">
        <v>46857</v>
      </c>
    </row>
    <row r="452" spans="1:10" x14ac:dyDescent="0.3">
      <c r="A452" s="14">
        <v>46269</v>
      </c>
      <c r="B452" s="7" t="s">
        <v>29</v>
      </c>
      <c r="C452" s="7" t="s">
        <v>30</v>
      </c>
      <c r="D452" s="7" t="s">
        <v>15</v>
      </c>
      <c r="E452" s="54">
        <v>2.89</v>
      </c>
      <c r="F452" s="54">
        <v>4.4400000000000004</v>
      </c>
      <c r="G452" s="13">
        <v>19</v>
      </c>
      <c r="H452" s="13">
        <v>31</v>
      </c>
      <c r="I452" s="42">
        <v>20</v>
      </c>
      <c r="J452" s="15">
        <v>46516</v>
      </c>
    </row>
    <row r="453" spans="1:10" x14ac:dyDescent="0.3">
      <c r="A453" s="14">
        <v>46269</v>
      </c>
      <c r="B453" s="7" t="s">
        <v>39</v>
      </c>
      <c r="C453" s="7" t="s">
        <v>14</v>
      </c>
      <c r="D453" s="7" t="s">
        <v>26</v>
      </c>
      <c r="E453" s="55">
        <v>2.58</v>
      </c>
      <c r="F453" s="55">
        <v>4.3899999999999997</v>
      </c>
      <c r="G453" s="13">
        <v>20</v>
      </c>
      <c r="H453" s="13">
        <v>92</v>
      </c>
      <c r="I453" s="43">
        <v>35</v>
      </c>
      <c r="J453" s="15">
        <v>46751</v>
      </c>
    </row>
    <row r="454" spans="1:10" x14ac:dyDescent="0.3">
      <c r="A454" s="14">
        <v>46271</v>
      </c>
      <c r="B454" s="7" t="s">
        <v>33</v>
      </c>
      <c r="C454" s="7" t="s">
        <v>11</v>
      </c>
      <c r="D454" s="7" t="s">
        <v>26</v>
      </c>
      <c r="E454" s="54">
        <v>1.1599999999999999</v>
      </c>
      <c r="F454" s="54">
        <v>2.02</v>
      </c>
      <c r="G454" s="13">
        <v>45</v>
      </c>
      <c r="H454" s="13">
        <v>62</v>
      </c>
      <c r="I454" s="42">
        <v>35</v>
      </c>
      <c r="J454" s="15">
        <v>46727</v>
      </c>
    </row>
    <row r="455" spans="1:10" x14ac:dyDescent="0.3">
      <c r="A455" s="14">
        <v>46271</v>
      </c>
      <c r="B455" s="7" t="s">
        <v>58</v>
      </c>
      <c r="C455" s="7" t="s">
        <v>30</v>
      </c>
      <c r="D455" s="7" t="s">
        <v>12</v>
      </c>
      <c r="E455" s="55">
        <v>1.87</v>
      </c>
      <c r="F455" s="55">
        <v>3.11</v>
      </c>
      <c r="G455" s="13">
        <v>24</v>
      </c>
      <c r="H455" s="13">
        <v>12</v>
      </c>
      <c r="I455" s="43">
        <v>15</v>
      </c>
      <c r="J455" s="15">
        <v>47052</v>
      </c>
    </row>
    <row r="456" spans="1:10" x14ac:dyDescent="0.3">
      <c r="A456" s="14">
        <v>46271</v>
      </c>
      <c r="B456" s="7" t="s">
        <v>55</v>
      </c>
      <c r="C456" s="7" t="s">
        <v>41</v>
      </c>
      <c r="D456" s="7" t="s">
        <v>34</v>
      </c>
      <c r="E456" s="54">
        <v>2.25</v>
      </c>
      <c r="F456" s="54">
        <v>3.07</v>
      </c>
      <c r="G456" s="13">
        <v>7</v>
      </c>
      <c r="H456" s="13">
        <v>27</v>
      </c>
      <c r="I456" s="42">
        <v>15</v>
      </c>
      <c r="J456" s="15">
        <v>46915</v>
      </c>
    </row>
    <row r="457" spans="1:10" x14ac:dyDescent="0.3">
      <c r="A457" s="14">
        <v>46272</v>
      </c>
      <c r="B457" s="7" t="s">
        <v>56</v>
      </c>
      <c r="C457" s="7" t="s">
        <v>41</v>
      </c>
      <c r="D457" s="7" t="s">
        <v>12</v>
      </c>
      <c r="E457" s="55">
        <v>1.71</v>
      </c>
      <c r="F457" s="55">
        <v>2.74</v>
      </c>
      <c r="G457" s="13">
        <v>7</v>
      </c>
      <c r="H457" s="13">
        <v>34</v>
      </c>
      <c r="I457" s="43">
        <v>15</v>
      </c>
      <c r="J457" s="15">
        <v>46788</v>
      </c>
    </row>
    <row r="458" spans="1:10" x14ac:dyDescent="0.3">
      <c r="A458" s="14">
        <v>46272</v>
      </c>
      <c r="B458" s="7" t="s">
        <v>39</v>
      </c>
      <c r="C458" s="7" t="s">
        <v>14</v>
      </c>
      <c r="D458" s="7" t="s">
        <v>49</v>
      </c>
      <c r="E458" s="54">
        <v>2.58</v>
      </c>
      <c r="F458" s="54">
        <v>4.3899999999999997</v>
      </c>
      <c r="G458" s="13">
        <v>19</v>
      </c>
      <c r="H458" s="13">
        <v>63</v>
      </c>
      <c r="I458" s="42">
        <v>35</v>
      </c>
      <c r="J458" s="15">
        <v>47006</v>
      </c>
    </row>
    <row r="459" spans="1:10" x14ac:dyDescent="0.3">
      <c r="A459" s="14">
        <v>46272</v>
      </c>
      <c r="B459" s="7" t="s">
        <v>40</v>
      </c>
      <c r="C459" s="7" t="s">
        <v>41</v>
      </c>
      <c r="D459" s="7" t="s">
        <v>49</v>
      </c>
      <c r="E459" s="55">
        <v>1.81</v>
      </c>
      <c r="F459" s="55">
        <v>3.15</v>
      </c>
      <c r="G459" s="13">
        <v>10</v>
      </c>
      <c r="H459" s="13">
        <v>30</v>
      </c>
      <c r="I459" s="43">
        <v>15</v>
      </c>
      <c r="J459" s="15">
        <v>46947</v>
      </c>
    </row>
    <row r="460" spans="1:10" x14ac:dyDescent="0.3">
      <c r="A460" s="14">
        <v>46273</v>
      </c>
      <c r="B460" s="7" t="s">
        <v>23</v>
      </c>
      <c r="C460" s="7" t="s">
        <v>24</v>
      </c>
      <c r="D460" s="7" t="s">
        <v>15</v>
      </c>
      <c r="E460" s="54">
        <v>3.03</v>
      </c>
      <c r="F460" s="54">
        <v>4.37</v>
      </c>
      <c r="G460" s="13">
        <v>3</v>
      </c>
      <c r="H460" s="13">
        <v>18</v>
      </c>
      <c r="I460" s="42">
        <v>15</v>
      </c>
      <c r="J460" s="15">
        <v>47108</v>
      </c>
    </row>
    <row r="461" spans="1:10" x14ac:dyDescent="0.3">
      <c r="A461" s="14">
        <v>46274</v>
      </c>
      <c r="B461" s="7" t="s">
        <v>33</v>
      </c>
      <c r="C461" s="7" t="s">
        <v>11</v>
      </c>
      <c r="D461" s="7" t="s">
        <v>34</v>
      </c>
      <c r="E461" s="55">
        <v>1.1599999999999999</v>
      </c>
      <c r="F461" s="55">
        <v>2.02</v>
      </c>
      <c r="G461" s="13">
        <v>16</v>
      </c>
      <c r="H461" s="13">
        <v>74</v>
      </c>
      <c r="I461" s="43">
        <v>35</v>
      </c>
      <c r="J461" s="15">
        <v>47105</v>
      </c>
    </row>
    <row r="462" spans="1:10" x14ac:dyDescent="0.3">
      <c r="A462" s="14">
        <v>46275</v>
      </c>
      <c r="B462" s="7" t="s">
        <v>53</v>
      </c>
      <c r="C462" s="7" t="s">
        <v>30</v>
      </c>
      <c r="D462" s="7" t="s">
        <v>31</v>
      </c>
      <c r="E462" s="54">
        <v>1.04</v>
      </c>
      <c r="F462" s="54">
        <v>1.58</v>
      </c>
      <c r="G462" s="13">
        <v>21</v>
      </c>
      <c r="H462" s="13">
        <v>37</v>
      </c>
      <c r="I462" s="42">
        <v>20</v>
      </c>
      <c r="J462" s="15">
        <v>46509</v>
      </c>
    </row>
    <row r="463" spans="1:10" x14ac:dyDescent="0.3">
      <c r="A463" s="14">
        <v>46275</v>
      </c>
      <c r="B463" s="7" t="s">
        <v>45</v>
      </c>
      <c r="C463" s="7" t="s">
        <v>46</v>
      </c>
      <c r="D463" s="7" t="s">
        <v>20</v>
      </c>
      <c r="E463" s="55">
        <v>0.39</v>
      </c>
      <c r="F463" s="55">
        <v>0.67</v>
      </c>
      <c r="G463" s="13">
        <v>18</v>
      </c>
      <c r="H463" s="13">
        <v>66</v>
      </c>
      <c r="I463" s="43">
        <v>20</v>
      </c>
      <c r="J463" s="15">
        <v>47056</v>
      </c>
    </row>
    <row r="464" spans="1:10" x14ac:dyDescent="0.3">
      <c r="A464" s="14">
        <v>46276</v>
      </c>
      <c r="B464" s="7" t="s">
        <v>33</v>
      </c>
      <c r="C464" s="7" t="s">
        <v>11</v>
      </c>
      <c r="D464" s="7" t="s">
        <v>31</v>
      </c>
      <c r="E464" s="54">
        <v>1.1599999999999999</v>
      </c>
      <c r="F464" s="54">
        <v>2.02</v>
      </c>
      <c r="G464" s="13">
        <v>37</v>
      </c>
      <c r="H464" s="13">
        <v>37</v>
      </c>
      <c r="I464" s="42">
        <v>35</v>
      </c>
      <c r="J464" s="15">
        <v>47011</v>
      </c>
    </row>
    <row r="465" spans="1:10" x14ac:dyDescent="0.3">
      <c r="A465" s="14">
        <v>46277</v>
      </c>
      <c r="B465" s="7" t="s">
        <v>56</v>
      </c>
      <c r="C465" s="7" t="s">
        <v>41</v>
      </c>
      <c r="D465" s="7" t="s">
        <v>31</v>
      </c>
      <c r="E465" s="55">
        <v>1.71</v>
      </c>
      <c r="F465" s="55">
        <v>2.74</v>
      </c>
      <c r="G465" s="13">
        <v>9</v>
      </c>
      <c r="H465" s="13">
        <v>14</v>
      </c>
      <c r="I465" s="43">
        <v>15</v>
      </c>
      <c r="J465" s="15">
        <v>46945</v>
      </c>
    </row>
    <row r="466" spans="1:10" x14ac:dyDescent="0.3">
      <c r="A466" s="14">
        <v>46278</v>
      </c>
      <c r="B466" s="7" t="s">
        <v>53</v>
      </c>
      <c r="C466" s="7" t="s">
        <v>30</v>
      </c>
      <c r="D466" s="7" t="s">
        <v>15</v>
      </c>
      <c r="E466" s="54">
        <v>1.04</v>
      </c>
      <c r="F466" s="54">
        <v>1.58</v>
      </c>
      <c r="G466" s="13">
        <v>17</v>
      </c>
      <c r="H466" s="13">
        <v>55</v>
      </c>
      <c r="I466" s="42">
        <v>20</v>
      </c>
      <c r="J466" s="15">
        <v>47064</v>
      </c>
    </row>
    <row r="467" spans="1:10" x14ac:dyDescent="0.3">
      <c r="A467" s="14">
        <v>46278</v>
      </c>
      <c r="B467" s="7" t="s">
        <v>23</v>
      </c>
      <c r="C467" s="7" t="s">
        <v>24</v>
      </c>
      <c r="D467" s="7" t="s">
        <v>34</v>
      </c>
      <c r="E467" s="55">
        <v>3.03</v>
      </c>
      <c r="F467" s="55">
        <v>4.37</v>
      </c>
      <c r="G467" s="13">
        <v>6</v>
      </c>
      <c r="H467" s="13">
        <v>24</v>
      </c>
      <c r="I467" s="43">
        <v>15</v>
      </c>
      <c r="J467" s="15">
        <v>46901</v>
      </c>
    </row>
    <row r="468" spans="1:10" x14ac:dyDescent="0.3">
      <c r="A468" s="14">
        <v>46278</v>
      </c>
      <c r="B468" s="7" t="s">
        <v>25</v>
      </c>
      <c r="C468" s="7" t="s">
        <v>11</v>
      </c>
      <c r="D468" s="7" t="s">
        <v>49</v>
      </c>
      <c r="E468" s="54">
        <v>1.54</v>
      </c>
      <c r="F468" s="54">
        <v>2.5</v>
      </c>
      <c r="G468" s="13">
        <v>18</v>
      </c>
      <c r="H468" s="13">
        <v>70</v>
      </c>
      <c r="I468" s="42">
        <v>35</v>
      </c>
      <c r="J468" s="15">
        <v>46983</v>
      </c>
    </row>
    <row r="469" spans="1:10" x14ac:dyDescent="0.3">
      <c r="A469" s="14">
        <v>46278</v>
      </c>
      <c r="B469" s="7" t="s">
        <v>39</v>
      </c>
      <c r="C469" s="7" t="s">
        <v>14</v>
      </c>
      <c r="D469" s="7" t="s">
        <v>12</v>
      </c>
      <c r="E469" s="55">
        <v>2.58</v>
      </c>
      <c r="F469" s="55">
        <v>4.3899999999999997</v>
      </c>
      <c r="G469" s="13">
        <v>14</v>
      </c>
      <c r="H469" s="13">
        <v>40</v>
      </c>
      <c r="I469" s="43">
        <v>35</v>
      </c>
      <c r="J469" s="15">
        <v>46389</v>
      </c>
    </row>
    <row r="470" spans="1:10" x14ac:dyDescent="0.3">
      <c r="A470" s="14">
        <v>46281</v>
      </c>
      <c r="B470" s="7" t="s">
        <v>53</v>
      </c>
      <c r="C470" s="7" t="s">
        <v>30</v>
      </c>
      <c r="D470" s="7" t="s">
        <v>31</v>
      </c>
      <c r="E470" s="54">
        <v>1.04</v>
      </c>
      <c r="F470" s="54">
        <v>1.58</v>
      </c>
      <c r="G470" s="13">
        <v>10</v>
      </c>
      <c r="H470" s="13">
        <v>15</v>
      </c>
      <c r="I470" s="42">
        <v>20</v>
      </c>
      <c r="J470" s="15">
        <v>46842</v>
      </c>
    </row>
    <row r="471" spans="1:10" x14ac:dyDescent="0.3">
      <c r="A471" s="14">
        <v>46282</v>
      </c>
      <c r="B471" s="7" t="s">
        <v>56</v>
      </c>
      <c r="C471" s="7" t="s">
        <v>41</v>
      </c>
      <c r="D471" s="7" t="s">
        <v>34</v>
      </c>
      <c r="E471" s="55">
        <v>1.71</v>
      </c>
      <c r="F471" s="55">
        <v>2.74</v>
      </c>
      <c r="G471" s="13">
        <v>5</v>
      </c>
      <c r="H471" s="13">
        <v>24</v>
      </c>
      <c r="I471" s="43">
        <v>15</v>
      </c>
      <c r="J471" s="15">
        <v>46624</v>
      </c>
    </row>
    <row r="472" spans="1:10" x14ac:dyDescent="0.3">
      <c r="A472" s="14">
        <v>46284</v>
      </c>
      <c r="B472" s="7" t="s">
        <v>29</v>
      </c>
      <c r="C472" s="7" t="s">
        <v>30</v>
      </c>
      <c r="D472" s="7" t="s">
        <v>12</v>
      </c>
      <c r="E472" s="54">
        <v>2.89</v>
      </c>
      <c r="F472" s="54">
        <v>4.4400000000000004</v>
      </c>
      <c r="G472" s="13">
        <v>13</v>
      </c>
      <c r="H472" s="13">
        <v>41</v>
      </c>
      <c r="I472" s="42">
        <v>20</v>
      </c>
      <c r="J472" s="15">
        <v>46783</v>
      </c>
    </row>
    <row r="473" spans="1:10" x14ac:dyDescent="0.3">
      <c r="A473" s="14">
        <v>46286</v>
      </c>
      <c r="B473" s="7" t="s">
        <v>52</v>
      </c>
      <c r="C473" s="7" t="s">
        <v>14</v>
      </c>
      <c r="D473" s="7" t="s">
        <v>34</v>
      </c>
      <c r="E473" s="55">
        <v>1.89</v>
      </c>
      <c r="F473" s="55">
        <v>3.03</v>
      </c>
      <c r="G473" s="13">
        <v>28</v>
      </c>
      <c r="H473" s="13">
        <v>74</v>
      </c>
      <c r="I473" s="43">
        <v>35</v>
      </c>
      <c r="J473" s="15">
        <v>46334</v>
      </c>
    </row>
    <row r="474" spans="1:10" x14ac:dyDescent="0.3">
      <c r="A474" s="14">
        <v>46286</v>
      </c>
      <c r="B474" s="7" t="s">
        <v>21</v>
      </c>
      <c r="C474" s="7" t="s">
        <v>22</v>
      </c>
      <c r="D474" s="7" t="s">
        <v>31</v>
      </c>
      <c r="E474" s="54">
        <v>1.76</v>
      </c>
      <c r="F474" s="54">
        <v>2.82</v>
      </c>
      <c r="G474" s="13">
        <v>12</v>
      </c>
      <c r="H474" s="13">
        <v>22</v>
      </c>
      <c r="I474" s="42">
        <v>35</v>
      </c>
      <c r="J474" s="15">
        <v>46801</v>
      </c>
    </row>
    <row r="475" spans="1:10" x14ac:dyDescent="0.3">
      <c r="A475" s="14">
        <v>46286</v>
      </c>
      <c r="B475" s="7" t="s">
        <v>47</v>
      </c>
      <c r="C475" s="7" t="s">
        <v>43</v>
      </c>
      <c r="D475" s="7" t="s">
        <v>49</v>
      </c>
      <c r="E475" s="55">
        <v>4.33</v>
      </c>
      <c r="F475" s="55">
        <v>7.26</v>
      </c>
      <c r="G475" s="13">
        <v>12</v>
      </c>
      <c r="H475" s="13">
        <v>49</v>
      </c>
      <c r="I475" s="43">
        <v>15</v>
      </c>
      <c r="J475" s="15">
        <v>47026</v>
      </c>
    </row>
    <row r="476" spans="1:10" x14ac:dyDescent="0.3">
      <c r="A476" s="14">
        <v>46287</v>
      </c>
      <c r="B476" s="7" t="s">
        <v>38</v>
      </c>
      <c r="C476" s="7" t="s">
        <v>28</v>
      </c>
      <c r="D476" s="7" t="s">
        <v>15</v>
      </c>
      <c r="E476" s="54">
        <v>4.24</v>
      </c>
      <c r="F476" s="54">
        <v>7.38</v>
      </c>
      <c r="G476" s="13">
        <v>14</v>
      </c>
      <c r="H476" s="13">
        <v>11</v>
      </c>
      <c r="I476" s="42">
        <v>20</v>
      </c>
      <c r="J476" s="15">
        <v>46836</v>
      </c>
    </row>
    <row r="477" spans="1:10" x14ac:dyDescent="0.3">
      <c r="A477" s="14">
        <v>46287</v>
      </c>
      <c r="B477" s="7" t="s">
        <v>25</v>
      </c>
      <c r="C477" s="7" t="s">
        <v>11</v>
      </c>
      <c r="D477" s="7" t="s">
        <v>26</v>
      </c>
      <c r="E477" s="55">
        <v>1.54</v>
      </c>
      <c r="F477" s="55">
        <v>2.5</v>
      </c>
      <c r="G477" s="13">
        <v>10</v>
      </c>
      <c r="H477" s="13">
        <v>27</v>
      </c>
      <c r="I477" s="43">
        <v>35</v>
      </c>
      <c r="J477" s="15">
        <v>46728</v>
      </c>
    </row>
    <row r="478" spans="1:10" x14ac:dyDescent="0.3">
      <c r="A478" s="14">
        <v>46288</v>
      </c>
      <c r="B478" s="7" t="s">
        <v>45</v>
      </c>
      <c r="C478" s="7" t="s">
        <v>46</v>
      </c>
      <c r="D478" s="7" t="s">
        <v>26</v>
      </c>
      <c r="E478" s="54">
        <v>0.39</v>
      </c>
      <c r="F478" s="54">
        <v>0.67</v>
      </c>
      <c r="G478" s="13">
        <v>8</v>
      </c>
      <c r="H478" s="13">
        <v>66</v>
      </c>
      <c r="I478" s="42">
        <v>20</v>
      </c>
      <c r="J478" s="15">
        <v>46601</v>
      </c>
    </row>
    <row r="479" spans="1:10" x14ac:dyDescent="0.3">
      <c r="A479" s="14">
        <v>46289</v>
      </c>
      <c r="B479" s="7" t="s">
        <v>25</v>
      </c>
      <c r="C479" s="7" t="s">
        <v>11</v>
      </c>
      <c r="D479" s="7" t="s">
        <v>26</v>
      </c>
      <c r="E479" s="55">
        <v>1.54</v>
      </c>
      <c r="F479" s="55">
        <v>2.5</v>
      </c>
      <c r="G479" s="13">
        <v>14</v>
      </c>
      <c r="H479" s="13">
        <v>54</v>
      </c>
      <c r="I479" s="43">
        <v>35</v>
      </c>
      <c r="J479" s="15">
        <v>46970</v>
      </c>
    </row>
    <row r="480" spans="1:10" x14ac:dyDescent="0.3">
      <c r="A480" s="14">
        <v>46290</v>
      </c>
      <c r="B480" s="7" t="s">
        <v>29</v>
      </c>
      <c r="C480" s="7" t="s">
        <v>30</v>
      </c>
      <c r="D480" s="7" t="s">
        <v>49</v>
      </c>
      <c r="E480" s="54">
        <v>2.89</v>
      </c>
      <c r="F480" s="54">
        <v>4.4400000000000004</v>
      </c>
      <c r="G480" s="13">
        <v>15</v>
      </c>
      <c r="H480" s="13">
        <v>13</v>
      </c>
      <c r="I480" s="42">
        <v>20</v>
      </c>
      <c r="J480" s="15">
        <v>46947</v>
      </c>
    </row>
    <row r="481" spans="1:10" x14ac:dyDescent="0.3">
      <c r="A481" s="14">
        <v>46290</v>
      </c>
      <c r="B481" s="7" t="s">
        <v>42</v>
      </c>
      <c r="C481" s="7" t="s">
        <v>43</v>
      </c>
      <c r="D481" s="7" t="s">
        <v>26</v>
      </c>
      <c r="E481" s="55">
        <v>1.95</v>
      </c>
      <c r="F481" s="55">
        <v>3.09</v>
      </c>
      <c r="G481" s="13">
        <v>10</v>
      </c>
      <c r="H481" s="13">
        <v>46</v>
      </c>
      <c r="I481" s="43">
        <v>35</v>
      </c>
      <c r="J481" s="15">
        <v>47049</v>
      </c>
    </row>
    <row r="482" spans="1:10" x14ac:dyDescent="0.3">
      <c r="A482" s="14">
        <v>46290</v>
      </c>
      <c r="B482" s="7" t="s">
        <v>52</v>
      </c>
      <c r="C482" s="7" t="s">
        <v>14</v>
      </c>
      <c r="D482" s="7" t="s">
        <v>34</v>
      </c>
      <c r="E482" s="54">
        <v>1.89</v>
      </c>
      <c r="F482" s="54">
        <v>3.03</v>
      </c>
      <c r="G482" s="13">
        <v>26</v>
      </c>
      <c r="H482" s="13">
        <v>33</v>
      </c>
      <c r="I482" s="42">
        <v>35</v>
      </c>
      <c r="J482" s="15">
        <v>46796</v>
      </c>
    </row>
    <row r="483" spans="1:10" x14ac:dyDescent="0.3">
      <c r="A483" s="14">
        <v>46290</v>
      </c>
      <c r="B483" s="7" t="s">
        <v>40</v>
      </c>
      <c r="C483" s="7" t="s">
        <v>41</v>
      </c>
      <c r="D483" s="7" t="s">
        <v>26</v>
      </c>
      <c r="E483" s="55">
        <v>1.81</v>
      </c>
      <c r="F483" s="55">
        <v>3.15</v>
      </c>
      <c r="G483" s="13">
        <v>11</v>
      </c>
      <c r="H483" s="13">
        <v>6</v>
      </c>
      <c r="I483" s="43">
        <v>15</v>
      </c>
      <c r="J483" s="15">
        <v>46891</v>
      </c>
    </row>
    <row r="484" spans="1:10" x14ac:dyDescent="0.3">
      <c r="A484" s="14">
        <v>46291</v>
      </c>
      <c r="B484" s="7" t="s">
        <v>52</v>
      </c>
      <c r="C484" s="7" t="s">
        <v>14</v>
      </c>
      <c r="D484" s="7" t="s">
        <v>49</v>
      </c>
      <c r="E484" s="54">
        <v>1.89</v>
      </c>
      <c r="F484" s="54">
        <v>3.03</v>
      </c>
      <c r="G484" s="13">
        <v>20</v>
      </c>
      <c r="H484" s="13">
        <v>69</v>
      </c>
      <c r="I484" s="42">
        <v>35</v>
      </c>
      <c r="J484" s="15">
        <v>46985</v>
      </c>
    </row>
    <row r="485" spans="1:10" x14ac:dyDescent="0.3">
      <c r="A485" s="14">
        <v>46291</v>
      </c>
      <c r="B485" s="7" t="s">
        <v>53</v>
      </c>
      <c r="C485" s="7" t="s">
        <v>30</v>
      </c>
      <c r="D485" s="7" t="s">
        <v>26</v>
      </c>
      <c r="E485" s="55">
        <v>1.04</v>
      </c>
      <c r="F485" s="55">
        <v>1.58</v>
      </c>
      <c r="G485" s="13">
        <v>14</v>
      </c>
      <c r="H485" s="13">
        <v>50</v>
      </c>
      <c r="I485" s="43">
        <v>20</v>
      </c>
      <c r="J485" s="15">
        <v>46882</v>
      </c>
    </row>
    <row r="486" spans="1:10" x14ac:dyDescent="0.3">
      <c r="A486" s="14">
        <v>46291</v>
      </c>
      <c r="B486" s="7" t="s">
        <v>48</v>
      </c>
      <c r="C486" s="7" t="s">
        <v>43</v>
      </c>
      <c r="D486" s="7" t="s">
        <v>49</v>
      </c>
      <c r="E486" s="54">
        <v>3.19</v>
      </c>
      <c r="F486" s="54">
        <v>4.88</v>
      </c>
      <c r="G486" s="13">
        <v>6</v>
      </c>
      <c r="H486" s="13">
        <v>60</v>
      </c>
      <c r="I486" s="42">
        <v>20</v>
      </c>
      <c r="J486" s="15">
        <v>46634</v>
      </c>
    </row>
    <row r="487" spans="1:10" x14ac:dyDescent="0.3">
      <c r="A487" s="14">
        <v>46291</v>
      </c>
      <c r="B487" s="7" t="s">
        <v>27</v>
      </c>
      <c r="C487" s="7" t="s">
        <v>28</v>
      </c>
      <c r="D487" s="7" t="s">
        <v>12</v>
      </c>
      <c r="E487" s="55">
        <v>3.92</v>
      </c>
      <c r="F487" s="55">
        <v>5.92</v>
      </c>
      <c r="G487" s="13">
        <v>11</v>
      </c>
      <c r="H487" s="13">
        <v>9</v>
      </c>
      <c r="I487" s="43">
        <v>15</v>
      </c>
      <c r="J487" s="15">
        <v>46449</v>
      </c>
    </row>
    <row r="488" spans="1:10" x14ac:dyDescent="0.3">
      <c r="A488" s="14">
        <v>46291</v>
      </c>
      <c r="B488" s="7" t="s">
        <v>33</v>
      </c>
      <c r="C488" s="7" t="s">
        <v>11</v>
      </c>
      <c r="D488" s="7" t="s">
        <v>12</v>
      </c>
      <c r="E488" s="54">
        <v>1.1599999999999999</v>
      </c>
      <c r="F488" s="54">
        <v>2.02</v>
      </c>
      <c r="G488" s="13">
        <v>39</v>
      </c>
      <c r="H488" s="13">
        <v>106</v>
      </c>
      <c r="I488" s="42">
        <v>35</v>
      </c>
      <c r="J488" s="15">
        <v>46622</v>
      </c>
    </row>
    <row r="489" spans="1:10" x14ac:dyDescent="0.3">
      <c r="A489" s="14">
        <v>46292</v>
      </c>
      <c r="B489" s="7" t="s">
        <v>52</v>
      </c>
      <c r="C489" s="7" t="s">
        <v>14</v>
      </c>
      <c r="D489" s="7" t="s">
        <v>20</v>
      </c>
      <c r="E489" s="55">
        <v>1.89</v>
      </c>
      <c r="F489" s="55">
        <v>3.03</v>
      </c>
      <c r="G489" s="13">
        <v>18</v>
      </c>
      <c r="H489" s="13">
        <v>128</v>
      </c>
      <c r="I489" s="43">
        <v>35</v>
      </c>
      <c r="J489" s="15">
        <v>46935</v>
      </c>
    </row>
    <row r="490" spans="1:10" x14ac:dyDescent="0.3">
      <c r="A490" s="14">
        <v>46293</v>
      </c>
      <c r="B490" s="7" t="s">
        <v>52</v>
      </c>
      <c r="C490" s="7" t="s">
        <v>14</v>
      </c>
      <c r="D490" s="7" t="s">
        <v>12</v>
      </c>
      <c r="E490" s="54">
        <v>1.89</v>
      </c>
      <c r="F490" s="54">
        <v>3.03</v>
      </c>
      <c r="G490" s="13">
        <v>15</v>
      </c>
      <c r="H490" s="13">
        <v>20</v>
      </c>
      <c r="I490" s="42">
        <v>35</v>
      </c>
      <c r="J490" s="15">
        <v>46617</v>
      </c>
    </row>
    <row r="491" spans="1:10" x14ac:dyDescent="0.3">
      <c r="A491" s="14">
        <v>46293</v>
      </c>
      <c r="B491" s="7" t="s">
        <v>56</v>
      </c>
      <c r="C491" s="7" t="s">
        <v>41</v>
      </c>
      <c r="D491" s="7" t="s">
        <v>49</v>
      </c>
      <c r="E491" s="55">
        <v>1.71</v>
      </c>
      <c r="F491" s="55">
        <v>2.74</v>
      </c>
      <c r="G491" s="13">
        <v>7</v>
      </c>
      <c r="H491" s="13">
        <v>4</v>
      </c>
      <c r="I491" s="43">
        <v>15</v>
      </c>
      <c r="J491" s="15">
        <v>47006</v>
      </c>
    </row>
    <row r="492" spans="1:10" x14ac:dyDescent="0.3">
      <c r="A492" s="14">
        <v>46293</v>
      </c>
      <c r="B492" s="7" t="s">
        <v>42</v>
      </c>
      <c r="C492" s="7" t="s">
        <v>43</v>
      </c>
      <c r="D492" s="7" t="s">
        <v>20</v>
      </c>
      <c r="E492" s="54">
        <v>1.95</v>
      </c>
      <c r="F492" s="54">
        <v>3.09</v>
      </c>
      <c r="G492" s="13">
        <v>11</v>
      </c>
      <c r="H492" s="13">
        <v>74</v>
      </c>
      <c r="I492" s="42">
        <v>35</v>
      </c>
      <c r="J492" s="15">
        <v>46503</v>
      </c>
    </row>
    <row r="493" spans="1:10" x14ac:dyDescent="0.3">
      <c r="A493" s="14">
        <v>46293</v>
      </c>
      <c r="B493" s="7" t="s">
        <v>33</v>
      </c>
      <c r="C493" s="7" t="s">
        <v>11</v>
      </c>
      <c r="D493" s="7" t="s">
        <v>34</v>
      </c>
      <c r="E493" s="55">
        <v>1.1599999999999999</v>
      </c>
      <c r="F493" s="55">
        <v>2.02</v>
      </c>
      <c r="G493" s="13">
        <v>36</v>
      </c>
      <c r="H493" s="13">
        <v>76</v>
      </c>
      <c r="I493" s="43">
        <v>35</v>
      </c>
      <c r="J493" s="15">
        <v>46741</v>
      </c>
    </row>
    <row r="494" spans="1:10" x14ac:dyDescent="0.3">
      <c r="A494" s="14">
        <v>46293</v>
      </c>
      <c r="B494" s="7" t="s">
        <v>33</v>
      </c>
      <c r="C494" s="7" t="s">
        <v>11</v>
      </c>
      <c r="D494" s="7" t="s">
        <v>26</v>
      </c>
      <c r="E494" s="54">
        <v>1.1599999999999999</v>
      </c>
      <c r="F494" s="54">
        <v>2.02</v>
      </c>
      <c r="G494" s="13">
        <v>41</v>
      </c>
      <c r="H494" s="13">
        <v>62</v>
      </c>
      <c r="I494" s="42">
        <v>35</v>
      </c>
      <c r="J494" s="15">
        <v>46842</v>
      </c>
    </row>
    <row r="495" spans="1:10" x14ac:dyDescent="0.3">
      <c r="A495" s="14">
        <v>46294</v>
      </c>
      <c r="B495" s="7" t="s">
        <v>13</v>
      </c>
      <c r="C495" s="7" t="s">
        <v>14</v>
      </c>
      <c r="D495" s="7" t="s">
        <v>26</v>
      </c>
      <c r="E495" s="55">
        <v>1.1499999999999999</v>
      </c>
      <c r="F495" s="55">
        <v>1.95</v>
      </c>
      <c r="G495" s="13">
        <v>9</v>
      </c>
      <c r="H495" s="13">
        <v>18</v>
      </c>
      <c r="I495" s="43">
        <v>15</v>
      </c>
      <c r="J495" s="15">
        <v>47037</v>
      </c>
    </row>
    <row r="496" spans="1:10" x14ac:dyDescent="0.3">
      <c r="A496" s="14">
        <v>46295</v>
      </c>
      <c r="B496" s="7" t="s">
        <v>45</v>
      </c>
      <c r="C496" s="7" t="s">
        <v>46</v>
      </c>
      <c r="D496" s="7" t="s">
        <v>26</v>
      </c>
      <c r="E496" s="54">
        <v>0.39</v>
      </c>
      <c r="F496" s="54">
        <v>0.67</v>
      </c>
      <c r="G496" s="13">
        <v>15</v>
      </c>
      <c r="H496" s="13">
        <v>16</v>
      </c>
      <c r="I496" s="42">
        <v>20</v>
      </c>
      <c r="J496" s="15">
        <v>46867</v>
      </c>
    </row>
    <row r="497" spans="1:10" x14ac:dyDescent="0.3">
      <c r="A497" s="14">
        <v>46295</v>
      </c>
      <c r="B497" s="7" t="s">
        <v>23</v>
      </c>
      <c r="C497" s="7" t="s">
        <v>24</v>
      </c>
      <c r="D497" s="7" t="s">
        <v>12</v>
      </c>
      <c r="E497" s="55">
        <v>3.03</v>
      </c>
      <c r="F497" s="55">
        <v>4.37</v>
      </c>
      <c r="G497" s="13">
        <v>5</v>
      </c>
      <c r="H497" s="13">
        <v>20</v>
      </c>
      <c r="I497" s="43">
        <v>15</v>
      </c>
      <c r="J497" s="15">
        <v>46782</v>
      </c>
    </row>
    <row r="498" spans="1:10" x14ac:dyDescent="0.3">
      <c r="A498" s="14">
        <v>46295</v>
      </c>
      <c r="B498" s="7" t="s">
        <v>55</v>
      </c>
      <c r="C498" s="7" t="s">
        <v>41</v>
      </c>
      <c r="D498" s="7" t="s">
        <v>20</v>
      </c>
      <c r="E498" s="54">
        <v>2.25</v>
      </c>
      <c r="F498" s="54">
        <v>3.07</v>
      </c>
      <c r="G498" s="13">
        <v>8</v>
      </c>
      <c r="H498" s="13">
        <v>18</v>
      </c>
      <c r="I498" s="42">
        <v>15</v>
      </c>
      <c r="J498" s="15">
        <v>46774</v>
      </c>
    </row>
    <row r="499" spans="1:10" x14ac:dyDescent="0.3">
      <c r="A499" s="14">
        <v>46295</v>
      </c>
      <c r="B499" s="7" t="s">
        <v>56</v>
      </c>
      <c r="C499" s="7" t="s">
        <v>41</v>
      </c>
      <c r="D499" s="7" t="s">
        <v>20</v>
      </c>
      <c r="E499" s="55">
        <v>1.71</v>
      </c>
      <c r="F499" s="55">
        <v>2.74</v>
      </c>
      <c r="G499" s="13">
        <v>9</v>
      </c>
      <c r="H499" s="13">
        <v>8</v>
      </c>
      <c r="I499" s="43">
        <v>15</v>
      </c>
      <c r="J499" s="15">
        <v>47073</v>
      </c>
    </row>
    <row r="500" spans="1:10" x14ac:dyDescent="0.3">
      <c r="A500" s="14">
        <v>46295</v>
      </c>
      <c r="B500" s="7" t="s">
        <v>55</v>
      </c>
      <c r="C500" s="7" t="s">
        <v>41</v>
      </c>
      <c r="D500" s="7" t="s">
        <v>34</v>
      </c>
      <c r="E500" s="54">
        <v>2.25</v>
      </c>
      <c r="F500" s="54">
        <v>3.07</v>
      </c>
      <c r="G500" s="13">
        <v>6</v>
      </c>
      <c r="H500" s="13">
        <v>3</v>
      </c>
      <c r="I500" s="42">
        <v>15</v>
      </c>
      <c r="J500" s="15">
        <v>46404</v>
      </c>
    </row>
    <row r="501" spans="1:10" x14ac:dyDescent="0.3">
      <c r="A501" s="19">
        <v>46295</v>
      </c>
      <c r="B501" s="20" t="s">
        <v>25</v>
      </c>
      <c r="C501" s="20" t="s">
        <v>11</v>
      </c>
      <c r="D501" s="20" t="s">
        <v>12</v>
      </c>
      <c r="E501" s="55">
        <v>1.54</v>
      </c>
      <c r="F501" s="55">
        <v>2.5</v>
      </c>
      <c r="G501" s="22">
        <v>19</v>
      </c>
      <c r="H501" s="22">
        <v>50</v>
      </c>
      <c r="I501" s="43">
        <v>35</v>
      </c>
      <c r="J501" s="23">
        <v>47007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383D-32CB-422F-BF10-BE652844865F}">
  <dimension ref="A1:Q500"/>
  <sheetViews>
    <sheetView tabSelected="1" topLeftCell="F1" zoomScaleNormal="100" workbookViewId="0">
      <pane ySplit="1" topLeftCell="A2" activePane="bottomLeft" state="frozen"/>
      <selection pane="bottomLeft" activeCell="Q4" sqref="Q4"/>
    </sheetView>
  </sheetViews>
  <sheetFormatPr defaultRowHeight="14.4" x14ac:dyDescent="0.3"/>
  <cols>
    <col min="1" max="1" width="22.6640625" bestFit="1" customWidth="1"/>
    <col min="2" max="2" width="19" customWidth="1"/>
    <col min="3" max="3" width="14.33203125" customWidth="1"/>
    <col min="4" max="4" width="17.5546875" customWidth="1"/>
    <col min="5" max="5" width="18.33203125" bestFit="1" customWidth="1"/>
    <col min="6" max="6" width="17.109375" customWidth="1"/>
    <col min="7" max="7" width="14.77734375" customWidth="1"/>
    <col min="8" max="8" width="15.5546875" customWidth="1"/>
    <col min="9" max="9" width="19.33203125" customWidth="1"/>
    <col min="10" max="10" width="12.88671875" customWidth="1"/>
    <col min="11" max="11" width="19.5546875" customWidth="1"/>
    <col min="12" max="12" width="15.21875" customWidth="1"/>
    <col min="13" max="13" width="12.21875" customWidth="1"/>
    <col min="14" max="14" width="15.88671875" customWidth="1"/>
    <col min="15" max="15" width="16.33203125" customWidth="1"/>
    <col min="16" max="16" width="17.33203125" customWidth="1"/>
    <col min="17" max="17" width="20.109375" customWidth="1"/>
  </cols>
  <sheetData>
    <row r="1" spans="1:17" x14ac:dyDescent="0.3">
      <c r="A1" s="33" t="s">
        <v>0</v>
      </c>
      <c r="B1" s="34" t="s">
        <v>1</v>
      </c>
      <c r="C1" s="34" t="s">
        <v>4</v>
      </c>
      <c r="D1" s="34" t="s">
        <v>59</v>
      </c>
      <c r="E1" s="34" t="s">
        <v>60</v>
      </c>
      <c r="F1" s="34" t="s">
        <v>61</v>
      </c>
      <c r="G1" s="34" t="s">
        <v>63</v>
      </c>
      <c r="H1" s="34" t="s">
        <v>62</v>
      </c>
      <c r="I1" s="34" t="s">
        <v>64</v>
      </c>
      <c r="J1" s="34" t="s">
        <v>8</v>
      </c>
      <c r="K1" s="34" t="s">
        <v>65</v>
      </c>
      <c r="L1" s="34" t="s">
        <v>66</v>
      </c>
      <c r="M1" s="34" t="s">
        <v>67</v>
      </c>
      <c r="N1" s="34" t="s">
        <v>68</v>
      </c>
      <c r="O1" s="34" t="s">
        <v>69</v>
      </c>
      <c r="P1" s="34" t="s">
        <v>70</v>
      </c>
      <c r="Q1" s="35" t="s">
        <v>71</v>
      </c>
    </row>
    <row r="2" spans="1:17" x14ac:dyDescent="0.3">
      <c r="A2" s="31" t="s">
        <v>10</v>
      </c>
      <c r="B2" s="2" t="str">
        <f>VLOOKUP(A2, 'Raw Data '!B2:C501, 2, FALSE)</f>
        <v>Analgesic</v>
      </c>
      <c r="C2" s="2">
        <f>LOOKUP(2,1/('Raw Data '!$B$2:$B$1000=A2), 'Raw Data '!$H$2:$H$1000)</f>
        <v>111</v>
      </c>
      <c r="D2" s="2">
        <f>VLOOKUP(A2, 'Raw Data '!$B$2:$I$501, 8, FALSE)</f>
        <v>35</v>
      </c>
      <c r="E2" s="2" t="str">
        <f>_xlfn.IFS(C2&gt;D2, "Sufficient Stock", C2=0, "Out Of Stock", C2&lt;=D2, "Reorder Soon" )</f>
        <v>Sufficient Stock</v>
      </c>
      <c r="F2" s="2">
        <f>SUM(C2-D2)</f>
        <v>76</v>
      </c>
      <c r="G2" s="2">
        <f>SUMIF(Table1[Medicine], Table2[[#This Row],[Medicine]],Table1[Quantity Sold])</f>
        <v>375</v>
      </c>
      <c r="H2" s="3">
        <f>VLOOKUP(A2,'Raw Data '!B2:E501, 4, FALSE)</f>
        <v>1.85</v>
      </c>
      <c r="I2" s="4">
        <f>SUM(G2*H2)</f>
        <v>693.75</v>
      </c>
      <c r="J2" s="5">
        <f>VLOOKUP(A2,'Raw Data '!B2:F501, 5, FALSE)</f>
        <v>2.5099999999999998</v>
      </c>
      <c r="K2" s="4">
        <f>SUM(G2*J2)</f>
        <v>941.24999999999989</v>
      </c>
      <c r="L2" s="4">
        <f>SUM(J2-H2)</f>
        <v>0.6599999999999997</v>
      </c>
      <c r="M2" s="4">
        <f>SUM(G2*L2)</f>
        <v>247.49999999999989</v>
      </c>
      <c r="N2" s="6">
        <f t="shared" ref="N2:N31" si="0">IFERROR(M2/K2, 0)</f>
        <v>0.26294820717131467</v>
      </c>
      <c r="O2" s="4">
        <f>SUM(C2*H2)</f>
        <v>205.35000000000002</v>
      </c>
      <c r="P2" s="7">
        <f>MAX(D2-C2, 0)</f>
        <v>0</v>
      </c>
      <c r="Q2" s="32">
        <f>IFERROR(K2/SUM($K$2:$K$31),0)</f>
        <v>4.1138063493131843E-2</v>
      </c>
    </row>
    <row r="3" spans="1:17" x14ac:dyDescent="0.3">
      <c r="A3" s="31" t="s">
        <v>13</v>
      </c>
      <c r="B3" s="2" t="str">
        <f>VLOOKUP(A3, 'Raw Data '!B3:C502, 2, FALSE)</f>
        <v>Gastrointestinal</v>
      </c>
      <c r="C3" s="2">
        <f>LOOKUP(2,1/('Raw Data '!$B$2:$B$1000=A3), 'Raw Data '!$H$2:$H$1000)</f>
        <v>18</v>
      </c>
      <c r="D3" s="2">
        <f>VLOOKUP(A3, 'Raw Data '!$B$2:$I$501, 8, FALSE)</f>
        <v>15</v>
      </c>
      <c r="E3" s="2" t="str">
        <f t="shared" ref="E3:E31" si="1">_xlfn.IFS(C3&gt;D3, "Sufficient Stock", C3=0, "Out Of Stock", C3&lt;=D3, "Reorder Soon" )</f>
        <v>Sufficient Stock</v>
      </c>
      <c r="F3" s="2">
        <f t="shared" ref="F3:F31" si="2">SUM(C3-D3)</f>
        <v>3</v>
      </c>
      <c r="G3" s="2">
        <f>SUMIF(Table1[Medicine], Table2[[#This Row],[Medicine]],Table1[Quantity Sold])</f>
        <v>128</v>
      </c>
      <c r="H3" s="3">
        <f>VLOOKUP(A3,'Raw Data '!B3:E502, 4, FALSE)</f>
        <v>1.1499999999999999</v>
      </c>
      <c r="I3" s="4">
        <f t="shared" ref="I3:I31" si="3">SUM(G3*H3)</f>
        <v>147.19999999999999</v>
      </c>
      <c r="J3" s="5">
        <f>VLOOKUP(A3,'Raw Data '!B3:F502, 5, FALSE)</f>
        <v>1.95</v>
      </c>
      <c r="K3" s="4">
        <f t="shared" ref="K3:K31" si="4">SUM(G3*J3)</f>
        <v>249.6</v>
      </c>
      <c r="L3" s="4">
        <f t="shared" ref="L3:L31" si="5">SUM(J3-H3)</f>
        <v>0.8</v>
      </c>
      <c r="M3" s="4">
        <f t="shared" ref="M3:M31" si="6">SUM(G3*L3)</f>
        <v>102.4</v>
      </c>
      <c r="N3" s="6">
        <f t="shared" si="0"/>
        <v>0.4102564102564103</v>
      </c>
      <c r="O3" s="4">
        <f t="shared" ref="O3:O31" si="7">SUM(C3*H3)</f>
        <v>20.7</v>
      </c>
      <c r="P3" s="7">
        <f t="shared" ref="P3:P31" si="8">MAX(D3-C3, 0)</f>
        <v>0</v>
      </c>
      <c r="Q3" s="32">
        <f>IFERROR(K3/SUM($K$2:$K$31),0)</f>
        <v>1.090896217570859E-2</v>
      </c>
    </row>
    <row r="4" spans="1:17" x14ac:dyDescent="0.3">
      <c r="A4" s="31" t="s">
        <v>16</v>
      </c>
      <c r="B4" s="2" t="str">
        <f>VLOOKUP(A4, 'Raw Data '!B4:C503, 2, FALSE)</f>
        <v>Allergy</v>
      </c>
      <c r="C4" s="2">
        <f>LOOKUP(2,1/('Raw Data '!$B$2:$B$1000=A4), 'Raw Data '!$H$2:$H$1000)</f>
        <v>61</v>
      </c>
      <c r="D4" s="2">
        <f>VLOOKUP(A4, 'Raw Data '!$B$2:$I$501, 8, FALSE)</f>
        <v>20</v>
      </c>
      <c r="E4" s="2" t="str">
        <f t="shared" si="1"/>
        <v>Sufficient Stock</v>
      </c>
      <c r="F4" s="2">
        <f t="shared" si="2"/>
        <v>41</v>
      </c>
      <c r="G4" s="2">
        <f>SUMIF(Table1[Medicine], Table2[[#This Row],[Medicine]],Table1[Quantity Sold])</f>
        <v>182</v>
      </c>
      <c r="H4" s="3">
        <f>VLOOKUP(A4,'Raw Data '!B4:E503, 4, FALSE)</f>
        <v>0.97</v>
      </c>
      <c r="I4" s="4">
        <f t="shared" si="3"/>
        <v>176.54</v>
      </c>
      <c r="J4" s="5">
        <f>VLOOKUP(A4,'Raw Data '!B4:F503, 5, FALSE)</f>
        <v>1.61</v>
      </c>
      <c r="K4" s="4">
        <f t="shared" si="4"/>
        <v>293.02000000000004</v>
      </c>
      <c r="L4" s="4">
        <f t="shared" si="5"/>
        <v>0.64000000000000012</v>
      </c>
      <c r="M4" s="4">
        <f t="shared" si="6"/>
        <v>116.48000000000002</v>
      </c>
      <c r="N4" s="6">
        <f t="shared" si="0"/>
        <v>0.39751552795031059</v>
      </c>
      <c r="O4" s="4">
        <f t="shared" si="7"/>
        <v>59.17</v>
      </c>
      <c r="P4" s="7">
        <f t="shared" si="8"/>
        <v>0</v>
      </c>
      <c r="Q4" s="32">
        <f>IFERROR(K4/SUM($K$2:$K$31),0)</f>
        <v>1.280666705419123E-2</v>
      </c>
    </row>
    <row r="5" spans="1:17" x14ac:dyDescent="0.3">
      <c r="A5" s="31" t="s">
        <v>18</v>
      </c>
      <c r="B5" s="2" t="str">
        <f>VLOOKUP(A5, 'Raw Data '!B5:C504, 2, FALSE)</f>
        <v>Supplements</v>
      </c>
      <c r="C5" s="2">
        <f>LOOKUP(2,1/('Raw Data '!$B$2:$B$1000=A5), 'Raw Data '!$H$2:$H$1000)</f>
        <v>23</v>
      </c>
      <c r="D5" s="2">
        <f>VLOOKUP(A5, 'Raw Data '!$B$2:$I$501, 8, FALSE)</f>
        <v>20</v>
      </c>
      <c r="E5" s="2" t="str">
        <f t="shared" si="1"/>
        <v>Sufficient Stock</v>
      </c>
      <c r="F5" s="2">
        <f t="shared" si="2"/>
        <v>3</v>
      </c>
      <c r="G5" s="2">
        <f>SUMIF(Table1[Medicine], Table2[[#This Row],[Medicine]],Table1[Quantity Sold])</f>
        <v>165</v>
      </c>
      <c r="H5" s="3">
        <f>VLOOKUP(A5,'Raw Data '!B5:E504, 4, FALSE)</f>
        <v>1.57</v>
      </c>
      <c r="I5" s="4">
        <f t="shared" si="3"/>
        <v>259.05</v>
      </c>
      <c r="J5" s="5">
        <f>VLOOKUP(A5,'Raw Data '!B5:F504, 5, FALSE)</f>
        <v>2.2999999999999998</v>
      </c>
      <c r="K5" s="4">
        <f t="shared" si="4"/>
        <v>379.49999999999994</v>
      </c>
      <c r="L5" s="4">
        <f t="shared" si="5"/>
        <v>0.72999999999999976</v>
      </c>
      <c r="M5" s="4">
        <f t="shared" si="6"/>
        <v>120.44999999999996</v>
      </c>
      <c r="N5" s="6">
        <f t="shared" si="0"/>
        <v>0.31739130434782603</v>
      </c>
      <c r="O5" s="4">
        <f t="shared" si="7"/>
        <v>36.11</v>
      </c>
      <c r="P5" s="7">
        <f t="shared" si="8"/>
        <v>0</v>
      </c>
      <c r="Q5" s="32">
        <f>IFERROR(K5/SUM($K$2:$K$31),0)</f>
        <v>1.658634273109539E-2</v>
      </c>
    </row>
    <row r="6" spans="1:17" x14ac:dyDescent="0.3">
      <c r="A6" s="31" t="s">
        <v>21</v>
      </c>
      <c r="B6" s="2" t="str">
        <f>VLOOKUP(A6, 'Raw Data '!B6:C505, 2, FALSE)</f>
        <v>Diabetes</v>
      </c>
      <c r="C6" s="2">
        <f>LOOKUP(2,1/('Raw Data '!$B$2:$B$1000=A6), 'Raw Data '!$H$2:$H$1000)</f>
        <v>22</v>
      </c>
      <c r="D6" s="2">
        <f>VLOOKUP(A6, 'Raw Data '!$B$2:$I$501, 8, FALSE)</f>
        <v>35</v>
      </c>
      <c r="E6" s="2" t="str">
        <f t="shared" si="1"/>
        <v>Reorder Soon</v>
      </c>
      <c r="F6" s="2">
        <f t="shared" si="2"/>
        <v>-13</v>
      </c>
      <c r="G6" s="2">
        <f>SUMIF(Table1[Medicine], Table2[[#This Row],[Medicine]],Table1[Quantity Sold])</f>
        <v>352</v>
      </c>
      <c r="H6" s="3">
        <f>VLOOKUP(A6,'Raw Data '!B6:E505, 4, FALSE)</f>
        <v>1.76</v>
      </c>
      <c r="I6" s="4">
        <f t="shared" si="3"/>
        <v>619.52</v>
      </c>
      <c r="J6" s="5">
        <f>VLOOKUP(A6,'Raw Data '!B6:F505, 5, FALSE)</f>
        <v>2.82</v>
      </c>
      <c r="K6" s="4">
        <f t="shared" si="4"/>
        <v>992.64</v>
      </c>
      <c r="L6" s="4">
        <f t="shared" si="5"/>
        <v>1.0599999999999998</v>
      </c>
      <c r="M6" s="4">
        <f t="shared" si="6"/>
        <v>373.11999999999995</v>
      </c>
      <c r="N6" s="6">
        <f t="shared" si="0"/>
        <v>0.37588652482269497</v>
      </c>
      <c r="O6" s="4">
        <f t="shared" si="7"/>
        <v>38.72</v>
      </c>
      <c r="P6" s="7">
        <f t="shared" si="8"/>
        <v>13</v>
      </c>
      <c r="Q6" s="32">
        <f t="shared" ref="Q6:Q30" si="9">IFERROR(K6/SUM($K$2:$K$31),0)</f>
        <v>4.3384103421856467E-2</v>
      </c>
    </row>
    <row r="7" spans="1:17" x14ac:dyDescent="0.3">
      <c r="A7" s="31" t="s">
        <v>23</v>
      </c>
      <c r="B7" s="2" t="str">
        <f>VLOOKUP(A7, 'Raw Data '!B7:C506, 2, FALSE)</f>
        <v>Ophthalmic</v>
      </c>
      <c r="C7" s="2">
        <f>LOOKUP(2,1/('Raw Data '!$B$2:$B$1000=A7), 'Raw Data '!$H$2:$H$1000)</f>
        <v>20</v>
      </c>
      <c r="D7" s="2">
        <f>VLOOKUP(A7, 'Raw Data '!$B$2:$I$501, 8, FALSE)</f>
        <v>15</v>
      </c>
      <c r="E7" s="2" t="str">
        <f t="shared" si="1"/>
        <v>Sufficient Stock</v>
      </c>
      <c r="F7" s="2">
        <f t="shared" si="2"/>
        <v>5</v>
      </c>
      <c r="G7" s="2">
        <f>SUMIF(Table1[Medicine], Table2[[#This Row],[Medicine]],Table1[Quantity Sold])</f>
        <v>66</v>
      </c>
      <c r="H7" s="3">
        <f>VLOOKUP(A7,'Raw Data '!B7:E506, 4, FALSE)</f>
        <v>3.03</v>
      </c>
      <c r="I7" s="4">
        <f t="shared" si="3"/>
        <v>199.98</v>
      </c>
      <c r="J7" s="5">
        <f>VLOOKUP(A7,'Raw Data '!B7:F506, 5, FALSE)</f>
        <v>4.37</v>
      </c>
      <c r="K7" s="4">
        <f t="shared" si="4"/>
        <v>288.42</v>
      </c>
      <c r="L7" s="4">
        <f t="shared" si="5"/>
        <v>1.3400000000000003</v>
      </c>
      <c r="M7" s="4">
        <f t="shared" si="6"/>
        <v>88.440000000000026</v>
      </c>
      <c r="N7" s="6">
        <f t="shared" si="0"/>
        <v>0.30663615560640739</v>
      </c>
      <c r="O7" s="4">
        <f t="shared" si="7"/>
        <v>60.599999999999994</v>
      </c>
      <c r="P7" s="7">
        <f t="shared" si="8"/>
        <v>0</v>
      </c>
      <c r="Q7" s="32">
        <f t="shared" si="9"/>
        <v>1.2605620475632498E-2</v>
      </c>
    </row>
    <row r="8" spans="1:17" x14ac:dyDescent="0.3">
      <c r="A8" s="31" t="s">
        <v>25</v>
      </c>
      <c r="B8" s="2" t="str">
        <f>VLOOKUP(A8, 'Raw Data '!B8:C507, 2, FALSE)</f>
        <v>Analgesic</v>
      </c>
      <c r="C8" s="2">
        <f>LOOKUP(2,1/('Raw Data '!$B$2:$B$1000=A8), 'Raw Data '!$H$2:$H$1000)</f>
        <v>50</v>
      </c>
      <c r="D8" s="2">
        <f>VLOOKUP(A8, 'Raw Data '!$B$2:$I$501, 8, FALSE)</f>
        <v>35</v>
      </c>
      <c r="E8" s="2" t="str">
        <f t="shared" si="1"/>
        <v>Sufficient Stock</v>
      </c>
      <c r="F8" s="2">
        <f t="shared" si="2"/>
        <v>15</v>
      </c>
      <c r="G8" s="2">
        <f>SUMIF(Table1[Medicine], Table2[[#This Row],[Medicine]],Table1[Quantity Sold])</f>
        <v>377</v>
      </c>
      <c r="H8" s="3">
        <f>VLOOKUP(A8,'Raw Data '!B8:E507, 4, FALSE)</f>
        <v>1.54</v>
      </c>
      <c r="I8" s="4">
        <f t="shared" si="3"/>
        <v>580.58000000000004</v>
      </c>
      <c r="J8" s="5">
        <f>VLOOKUP(A8,'Raw Data '!B8:F507, 5, FALSE)</f>
        <v>2.5</v>
      </c>
      <c r="K8" s="4">
        <f t="shared" si="4"/>
        <v>942.5</v>
      </c>
      <c r="L8" s="4">
        <f t="shared" si="5"/>
        <v>0.96</v>
      </c>
      <c r="M8" s="4">
        <f t="shared" si="6"/>
        <v>361.91999999999996</v>
      </c>
      <c r="N8" s="6">
        <f t="shared" si="0"/>
        <v>0.38399999999999995</v>
      </c>
      <c r="O8" s="4">
        <f t="shared" si="7"/>
        <v>77</v>
      </c>
      <c r="P8" s="7">
        <f t="shared" si="8"/>
        <v>0</v>
      </c>
      <c r="Q8" s="32">
        <f t="shared" si="9"/>
        <v>4.1192695715566288E-2</v>
      </c>
    </row>
    <row r="9" spans="1:17" x14ac:dyDescent="0.3">
      <c r="A9" s="31" t="s">
        <v>27</v>
      </c>
      <c r="B9" s="2" t="str">
        <f>VLOOKUP(A9, 'Raw Data '!B9:C508, 2, FALSE)</f>
        <v>Antibiotic</v>
      </c>
      <c r="C9" s="2">
        <f>LOOKUP(2,1/('Raw Data '!$B$2:$B$1000=A9), 'Raw Data '!$H$2:$H$1000)</f>
        <v>9</v>
      </c>
      <c r="D9" s="2">
        <f>VLOOKUP(A9, 'Raw Data '!$B$2:$I$501, 8, FALSE)</f>
        <v>15</v>
      </c>
      <c r="E9" s="2" t="str">
        <f t="shared" si="1"/>
        <v>Reorder Soon</v>
      </c>
      <c r="F9" s="2">
        <f t="shared" si="2"/>
        <v>-6</v>
      </c>
      <c r="G9" s="2">
        <f>SUMIF(Table1[Medicine], Table2[[#This Row],[Medicine]],Table1[Quantity Sold])</f>
        <v>122</v>
      </c>
      <c r="H9" s="3">
        <f>VLOOKUP(A9,'Raw Data '!B9:E508, 4, FALSE)</f>
        <v>3.92</v>
      </c>
      <c r="I9" s="4">
        <f t="shared" si="3"/>
        <v>478.24</v>
      </c>
      <c r="J9" s="5">
        <f>VLOOKUP(A9,'Raw Data '!B9:F508, 5, FALSE)</f>
        <v>5.92</v>
      </c>
      <c r="K9" s="4">
        <f t="shared" si="4"/>
        <v>722.24</v>
      </c>
      <c r="L9" s="4">
        <f t="shared" si="5"/>
        <v>2</v>
      </c>
      <c r="M9" s="4">
        <f t="shared" si="6"/>
        <v>244</v>
      </c>
      <c r="N9" s="6">
        <f t="shared" si="0"/>
        <v>0.33783783783783783</v>
      </c>
      <c r="O9" s="4">
        <f t="shared" si="7"/>
        <v>35.28</v>
      </c>
      <c r="P9" s="7">
        <f t="shared" si="8"/>
        <v>6</v>
      </c>
      <c r="Q9" s="32">
        <f t="shared" si="9"/>
        <v>3.1566061064838828E-2</v>
      </c>
    </row>
    <row r="10" spans="1:17" x14ac:dyDescent="0.3">
      <c r="A10" s="31" t="s">
        <v>29</v>
      </c>
      <c r="B10" s="2" t="str">
        <f>VLOOKUP(A10, 'Raw Data '!B10:C509, 2, FALSE)</f>
        <v>Cardiovascular</v>
      </c>
      <c r="C10" s="2">
        <f>LOOKUP(2,1/('Raw Data '!$B$2:$B$1000=A10), 'Raw Data '!$H$2:$H$1000)</f>
        <v>13</v>
      </c>
      <c r="D10" s="2">
        <f>VLOOKUP(A10, 'Raw Data '!$B$2:$I$501, 8, FALSE)</f>
        <v>20</v>
      </c>
      <c r="E10" s="2" t="str">
        <f t="shared" si="1"/>
        <v>Reorder Soon</v>
      </c>
      <c r="F10" s="2">
        <f t="shared" si="2"/>
        <v>-7</v>
      </c>
      <c r="G10" s="2">
        <f>SUMIF(Table1[Medicine], Table2[[#This Row],[Medicine]],Table1[Quantity Sold])</f>
        <v>272</v>
      </c>
      <c r="H10" s="3">
        <f>VLOOKUP(A10,'Raw Data '!B10:E509, 4, FALSE)</f>
        <v>2.89</v>
      </c>
      <c r="I10" s="4">
        <f t="shared" si="3"/>
        <v>786.08</v>
      </c>
      <c r="J10" s="5">
        <f>VLOOKUP(A10,'Raw Data '!B10:F509, 5, FALSE)</f>
        <v>4.4400000000000004</v>
      </c>
      <c r="K10" s="4">
        <f t="shared" si="4"/>
        <v>1207.68</v>
      </c>
      <c r="L10" s="4">
        <f t="shared" si="5"/>
        <v>1.5500000000000003</v>
      </c>
      <c r="M10" s="4">
        <f t="shared" si="6"/>
        <v>421.60000000000008</v>
      </c>
      <c r="N10" s="6">
        <f t="shared" si="0"/>
        <v>0.34909909909909914</v>
      </c>
      <c r="O10" s="4">
        <f t="shared" si="7"/>
        <v>37.57</v>
      </c>
      <c r="P10" s="7">
        <f t="shared" si="8"/>
        <v>7</v>
      </c>
      <c r="Q10" s="32">
        <f t="shared" si="9"/>
        <v>5.2782593911697713E-2</v>
      </c>
    </row>
    <row r="11" spans="1:17" x14ac:dyDescent="0.3">
      <c r="A11" s="31" t="s">
        <v>32</v>
      </c>
      <c r="B11" s="2" t="str">
        <f>VLOOKUP(A11, 'Raw Data '!B11:C510, 2, FALSE)</f>
        <v>Diabetes</v>
      </c>
      <c r="C11" s="2">
        <f>LOOKUP(2,1/('Raw Data '!$B$2:$B$1000=A11), 'Raw Data '!$H$2:$H$1000)</f>
        <v>47</v>
      </c>
      <c r="D11" s="2">
        <f>VLOOKUP(A11, 'Raw Data '!$B$2:$I$501, 8, FALSE)</f>
        <v>15</v>
      </c>
      <c r="E11" s="2" t="str">
        <f t="shared" si="1"/>
        <v>Sufficient Stock</v>
      </c>
      <c r="F11" s="2">
        <f t="shared" si="2"/>
        <v>32</v>
      </c>
      <c r="G11" s="2">
        <f>SUMIF(Table1[Medicine], Table2[[#This Row],[Medicine]],Table1[Quantity Sold])</f>
        <v>106</v>
      </c>
      <c r="H11" s="3">
        <f>VLOOKUP(A11,'Raw Data '!B11:E510, 4, FALSE)</f>
        <v>2.17</v>
      </c>
      <c r="I11" s="4">
        <f t="shared" si="3"/>
        <v>230.01999999999998</v>
      </c>
      <c r="J11" s="5">
        <f>VLOOKUP(A11,'Raw Data '!B11:F510, 5, FALSE)</f>
        <v>3.39</v>
      </c>
      <c r="K11" s="4">
        <f t="shared" si="4"/>
        <v>359.34000000000003</v>
      </c>
      <c r="L11" s="4">
        <f t="shared" si="5"/>
        <v>1.2200000000000002</v>
      </c>
      <c r="M11" s="4">
        <f t="shared" si="6"/>
        <v>129.32000000000002</v>
      </c>
      <c r="N11" s="6">
        <f t="shared" si="0"/>
        <v>0.35988200589970504</v>
      </c>
      <c r="O11" s="4">
        <f t="shared" si="7"/>
        <v>101.99</v>
      </c>
      <c r="P11" s="7">
        <f t="shared" si="8"/>
        <v>0</v>
      </c>
      <c r="Q11" s="32">
        <f t="shared" si="9"/>
        <v>1.5705234247672777E-2</v>
      </c>
    </row>
    <row r="12" spans="1:17" x14ac:dyDescent="0.3">
      <c r="A12" s="31" t="s">
        <v>33</v>
      </c>
      <c r="B12" s="2" t="str">
        <f>VLOOKUP(A12, 'Raw Data '!B12:C511, 2, FALSE)</f>
        <v>Analgesic</v>
      </c>
      <c r="C12" s="2">
        <f>LOOKUP(2,1/('Raw Data '!$B$2:$B$1000=A12), 'Raw Data '!$H$2:$H$1000)</f>
        <v>62</v>
      </c>
      <c r="D12" s="2">
        <f>VLOOKUP(A12, 'Raw Data '!$B$2:$I$501, 8, FALSE)</f>
        <v>35</v>
      </c>
      <c r="E12" s="2" t="str">
        <f t="shared" si="1"/>
        <v>Sufficient Stock</v>
      </c>
      <c r="F12" s="2">
        <f t="shared" si="2"/>
        <v>27</v>
      </c>
      <c r="G12" s="2">
        <f>SUMIF(Table1[Medicine], Table2[[#This Row],[Medicine]],Table1[Quantity Sold])</f>
        <v>902</v>
      </c>
      <c r="H12" s="3">
        <f>VLOOKUP(A12,'Raw Data '!B12:E511, 4, FALSE)</f>
        <v>1.1599999999999999</v>
      </c>
      <c r="I12" s="4">
        <f t="shared" si="3"/>
        <v>1046.32</v>
      </c>
      <c r="J12" s="5">
        <f>VLOOKUP(A12,'Raw Data '!B12:F511, 5, FALSE)</f>
        <v>2.02</v>
      </c>
      <c r="K12" s="4">
        <f t="shared" si="4"/>
        <v>1822.04</v>
      </c>
      <c r="L12" s="4">
        <f t="shared" si="5"/>
        <v>0.8600000000000001</v>
      </c>
      <c r="M12" s="4">
        <f t="shared" si="6"/>
        <v>775.72000000000014</v>
      </c>
      <c r="N12" s="6">
        <f t="shared" si="0"/>
        <v>0.42574257425742584</v>
      </c>
      <c r="O12" s="4">
        <f t="shared" si="7"/>
        <v>71.92</v>
      </c>
      <c r="P12" s="7">
        <f t="shared" si="8"/>
        <v>0</v>
      </c>
      <c r="Q12" s="32">
        <f t="shared" si="9"/>
        <v>7.9633675651554797E-2</v>
      </c>
    </row>
    <row r="13" spans="1:17" x14ac:dyDescent="0.3">
      <c r="A13" s="31" t="s">
        <v>35</v>
      </c>
      <c r="B13" s="2" t="str">
        <f>VLOOKUP(A13, 'Raw Data '!B13:C512, 2, FALSE)</f>
        <v>Vitamins</v>
      </c>
      <c r="C13" s="2">
        <f>LOOKUP(2,1/('Raw Data '!$B$2:$B$1000=A13), 'Raw Data '!$H$2:$H$1000)</f>
        <v>7</v>
      </c>
      <c r="D13" s="2">
        <f>VLOOKUP(A13, 'Raw Data '!$B$2:$I$501, 8, FALSE)</f>
        <v>20</v>
      </c>
      <c r="E13" s="2" t="str">
        <f t="shared" si="1"/>
        <v>Reorder Soon</v>
      </c>
      <c r="F13" s="2">
        <f t="shared" si="2"/>
        <v>-13</v>
      </c>
      <c r="G13" s="2">
        <f>SUMIF(Table1[Medicine], Table2[[#This Row],[Medicine]],Table1[Quantity Sold])</f>
        <v>239</v>
      </c>
      <c r="H13" s="3">
        <f>VLOOKUP(A13,'Raw Data '!B13:E512, 4, FALSE)</f>
        <v>3.23</v>
      </c>
      <c r="I13" s="4">
        <f t="shared" si="3"/>
        <v>771.97</v>
      </c>
      <c r="J13" s="5">
        <f>VLOOKUP(A13,'Raw Data '!B13:F512, 5, FALSE)</f>
        <v>5.0199999999999996</v>
      </c>
      <c r="K13" s="4">
        <f t="shared" si="4"/>
        <v>1199.78</v>
      </c>
      <c r="L13" s="4">
        <f t="shared" si="5"/>
        <v>1.7899999999999996</v>
      </c>
      <c r="M13" s="4">
        <f t="shared" si="6"/>
        <v>427.80999999999989</v>
      </c>
      <c r="N13" s="6">
        <f t="shared" si="0"/>
        <v>0.35657370517928277</v>
      </c>
      <c r="O13" s="4">
        <f t="shared" si="7"/>
        <v>22.61</v>
      </c>
      <c r="P13" s="7">
        <f t="shared" si="8"/>
        <v>13</v>
      </c>
      <c r="Q13" s="32">
        <f t="shared" si="9"/>
        <v>5.243731826591206E-2</v>
      </c>
    </row>
    <row r="14" spans="1:17" x14ac:dyDescent="0.3">
      <c r="A14" s="31" t="s">
        <v>37</v>
      </c>
      <c r="B14" s="2" t="str">
        <f>VLOOKUP(A14, 'Raw Data '!B14:C513, 2, FALSE)</f>
        <v>Ophthalmic</v>
      </c>
      <c r="C14" s="2">
        <f>LOOKUP(2,1/('Raw Data '!$B$2:$B$1000=A14), 'Raw Data '!$H$2:$H$1000)</f>
        <v>11</v>
      </c>
      <c r="D14" s="2">
        <f>VLOOKUP(A14, 'Raw Data '!$B$2:$I$501, 8, FALSE)</f>
        <v>35</v>
      </c>
      <c r="E14" s="2" t="str">
        <f t="shared" si="1"/>
        <v>Reorder Soon</v>
      </c>
      <c r="F14" s="2">
        <f t="shared" si="2"/>
        <v>-24</v>
      </c>
      <c r="G14" s="2">
        <f>SUMIF(Table1[Medicine], Table2[[#This Row],[Medicine]],Table1[Quantity Sold])</f>
        <v>275</v>
      </c>
      <c r="H14" s="3">
        <f>VLOOKUP(A14,'Raw Data '!B14:E513, 4, FALSE)</f>
        <v>2.39</v>
      </c>
      <c r="I14" s="4">
        <f t="shared" si="3"/>
        <v>657.25</v>
      </c>
      <c r="J14" s="5">
        <f>VLOOKUP(A14,'Raw Data '!B14:F513, 5, FALSE)</f>
        <v>3.89</v>
      </c>
      <c r="K14" s="4">
        <f t="shared" si="4"/>
        <v>1069.75</v>
      </c>
      <c r="L14" s="4">
        <f t="shared" si="5"/>
        <v>1.5</v>
      </c>
      <c r="M14" s="4">
        <f t="shared" si="6"/>
        <v>412.5</v>
      </c>
      <c r="N14" s="6">
        <f t="shared" si="0"/>
        <v>0.38560411311053983</v>
      </c>
      <c r="O14" s="4">
        <f t="shared" si="7"/>
        <v>26.290000000000003</v>
      </c>
      <c r="P14" s="7">
        <f t="shared" si="8"/>
        <v>24</v>
      </c>
      <c r="Q14" s="32">
        <f t="shared" si="9"/>
        <v>4.6754255959392081E-2</v>
      </c>
    </row>
    <row r="15" spans="1:17" x14ac:dyDescent="0.3">
      <c r="A15" s="31" t="s">
        <v>38</v>
      </c>
      <c r="B15" s="2" t="str">
        <f>VLOOKUP(A15, 'Raw Data '!B15:C514, 2, FALSE)</f>
        <v>Antibiotic</v>
      </c>
      <c r="C15" s="2">
        <f>LOOKUP(2,1/('Raw Data '!$B$2:$B$1000=A15), 'Raw Data '!$H$2:$H$1000)</f>
        <v>11</v>
      </c>
      <c r="D15" s="2">
        <f>VLOOKUP(A15, 'Raw Data '!$B$2:$I$501, 8, FALSE)</f>
        <v>20</v>
      </c>
      <c r="E15" s="2" t="str">
        <f t="shared" si="1"/>
        <v>Reorder Soon</v>
      </c>
      <c r="F15" s="2">
        <f t="shared" si="2"/>
        <v>-9</v>
      </c>
      <c r="G15" s="2">
        <f>SUMIF(Table1[Medicine], Table2[[#This Row],[Medicine]],Table1[Quantity Sold])</f>
        <v>178</v>
      </c>
      <c r="H15" s="3">
        <f>VLOOKUP(A15,'Raw Data '!B15:E514, 4, FALSE)</f>
        <v>4.24</v>
      </c>
      <c r="I15" s="4">
        <f t="shared" si="3"/>
        <v>754.72</v>
      </c>
      <c r="J15" s="5">
        <f>VLOOKUP(A15,'Raw Data '!B15:F514, 5, FALSE)</f>
        <v>7.38</v>
      </c>
      <c r="K15" s="4">
        <f t="shared" si="4"/>
        <v>1313.6399999999999</v>
      </c>
      <c r="L15" s="4">
        <f t="shared" si="5"/>
        <v>3.1399999999999997</v>
      </c>
      <c r="M15" s="4">
        <f t="shared" si="6"/>
        <v>558.91999999999996</v>
      </c>
      <c r="N15" s="6">
        <f t="shared" si="0"/>
        <v>0.42547425474254741</v>
      </c>
      <c r="O15" s="4">
        <f t="shared" si="7"/>
        <v>46.64</v>
      </c>
      <c r="P15" s="7">
        <f t="shared" si="8"/>
        <v>9</v>
      </c>
      <c r="Q15" s="32">
        <f t="shared" si="9"/>
        <v>5.7413658143020151E-2</v>
      </c>
    </row>
    <row r="16" spans="1:17" x14ac:dyDescent="0.3">
      <c r="A16" s="31" t="s">
        <v>39</v>
      </c>
      <c r="B16" s="2" t="str">
        <f>VLOOKUP(A16, 'Raw Data '!B16:C515, 2, FALSE)</f>
        <v>Gastrointestinal</v>
      </c>
      <c r="C16" s="2">
        <f>LOOKUP(2,1/('Raw Data '!$B$2:$B$1000=A16), 'Raw Data '!$H$2:$H$1000)</f>
        <v>40</v>
      </c>
      <c r="D16" s="2">
        <f>VLOOKUP(A16, 'Raw Data '!$B$2:$I$501, 8, FALSE)</f>
        <v>35</v>
      </c>
      <c r="E16" s="2" t="str">
        <f t="shared" si="1"/>
        <v>Sufficient Stock</v>
      </c>
      <c r="F16" s="2">
        <f t="shared" si="2"/>
        <v>5</v>
      </c>
      <c r="G16" s="2">
        <f>SUMIF(Table1[Medicine], Table2[[#This Row],[Medicine]],Table1[Quantity Sold])</f>
        <v>337</v>
      </c>
      <c r="H16" s="3">
        <f>VLOOKUP(A16,'Raw Data '!B16:E515, 4, FALSE)</f>
        <v>2.58</v>
      </c>
      <c r="I16" s="4">
        <f t="shared" si="3"/>
        <v>869.46</v>
      </c>
      <c r="J16" s="5">
        <f>VLOOKUP(A16,'Raw Data '!B16:F515, 5, FALSE)</f>
        <v>4.3899999999999997</v>
      </c>
      <c r="K16" s="4">
        <f t="shared" si="4"/>
        <v>1479.4299999999998</v>
      </c>
      <c r="L16" s="4">
        <f t="shared" si="5"/>
        <v>1.8099999999999996</v>
      </c>
      <c r="M16" s="4">
        <f t="shared" si="6"/>
        <v>609.96999999999991</v>
      </c>
      <c r="N16" s="6">
        <f t="shared" si="0"/>
        <v>0.41230068337129838</v>
      </c>
      <c r="O16" s="4">
        <f t="shared" si="7"/>
        <v>103.2</v>
      </c>
      <c r="P16" s="7">
        <f t="shared" si="8"/>
        <v>0</v>
      </c>
      <c r="Q16" s="32">
        <f t="shared" si="9"/>
        <v>6.4659639068944536E-2</v>
      </c>
    </row>
    <row r="17" spans="1:17" x14ac:dyDescent="0.3">
      <c r="A17" s="31" t="s">
        <v>40</v>
      </c>
      <c r="B17" s="2" t="str">
        <f>VLOOKUP(A17, 'Raw Data '!B17:C516, 2, FALSE)</f>
        <v>Dermatology</v>
      </c>
      <c r="C17" s="2">
        <f>LOOKUP(2,1/('Raw Data '!$B$2:$B$1000=A17), 'Raw Data '!$H$2:$H$1000)</f>
        <v>6</v>
      </c>
      <c r="D17" s="2">
        <f>VLOOKUP(A17, 'Raw Data '!$B$2:$I$501, 8, FALSE)</f>
        <v>15</v>
      </c>
      <c r="E17" s="2" t="str">
        <f t="shared" si="1"/>
        <v>Reorder Soon</v>
      </c>
      <c r="F17" s="2">
        <f t="shared" si="2"/>
        <v>-9</v>
      </c>
      <c r="G17" s="2">
        <f>SUMIF(Table1[Medicine], Table2[[#This Row],[Medicine]],Table1[Quantity Sold])</f>
        <v>136</v>
      </c>
      <c r="H17" s="3">
        <f>VLOOKUP(A17,'Raw Data '!B17:E516, 4, FALSE)</f>
        <v>1.81</v>
      </c>
      <c r="I17" s="4">
        <f t="shared" si="3"/>
        <v>246.16</v>
      </c>
      <c r="J17" s="5">
        <f>VLOOKUP(A17,'Raw Data '!B17:F516, 5, FALSE)</f>
        <v>3.15</v>
      </c>
      <c r="K17" s="4">
        <f t="shared" si="4"/>
        <v>428.4</v>
      </c>
      <c r="L17" s="4">
        <f t="shared" si="5"/>
        <v>1.3399999999999999</v>
      </c>
      <c r="M17" s="4">
        <f t="shared" si="6"/>
        <v>182.23999999999998</v>
      </c>
      <c r="N17" s="6">
        <f t="shared" si="0"/>
        <v>0.42539682539682538</v>
      </c>
      <c r="O17" s="4">
        <f t="shared" si="7"/>
        <v>10.86</v>
      </c>
      <c r="P17" s="7">
        <f t="shared" si="8"/>
        <v>9</v>
      </c>
      <c r="Q17" s="32">
        <f t="shared" si="9"/>
        <v>1.8723555272730605E-2</v>
      </c>
    </row>
    <row r="18" spans="1:17" x14ac:dyDescent="0.3">
      <c r="A18" s="31" t="s">
        <v>42</v>
      </c>
      <c r="B18" s="2" t="str">
        <f>VLOOKUP(A18, 'Raw Data '!B18:C517, 2, FALSE)</f>
        <v>Respiratory</v>
      </c>
      <c r="C18" s="2">
        <f>LOOKUP(2,1/('Raw Data '!$B$2:$B$1000=A18), 'Raw Data '!$H$2:$H$1000)</f>
        <v>74</v>
      </c>
      <c r="D18" s="2">
        <f>VLOOKUP(A18, 'Raw Data '!$B$2:$I$501, 8, FALSE)</f>
        <v>35</v>
      </c>
      <c r="E18" s="2" t="str">
        <f t="shared" si="1"/>
        <v>Sufficient Stock</v>
      </c>
      <c r="F18" s="2">
        <f t="shared" si="2"/>
        <v>39</v>
      </c>
      <c r="G18" s="2">
        <f>SUMIF(Table1[Medicine], Table2[[#This Row],[Medicine]],Table1[Quantity Sold])</f>
        <v>313</v>
      </c>
      <c r="H18" s="3">
        <f>VLOOKUP(A18,'Raw Data '!B18:E517, 4, FALSE)</f>
        <v>1.95</v>
      </c>
      <c r="I18" s="4">
        <f t="shared" si="3"/>
        <v>610.35</v>
      </c>
      <c r="J18" s="5">
        <f>VLOOKUP(A18,'Raw Data '!B18:F517, 5, FALSE)</f>
        <v>3.09</v>
      </c>
      <c r="K18" s="4">
        <f t="shared" si="4"/>
        <v>967.17</v>
      </c>
      <c r="L18" s="4">
        <f t="shared" si="5"/>
        <v>1.1399999999999999</v>
      </c>
      <c r="M18" s="4">
        <f t="shared" si="6"/>
        <v>356.82</v>
      </c>
      <c r="N18" s="6">
        <f t="shared" si="0"/>
        <v>0.36893203883495146</v>
      </c>
      <c r="O18" s="4">
        <f t="shared" si="7"/>
        <v>144.29999999999998</v>
      </c>
      <c r="P18" s="7">
        <f t="shared" si="8"/>
        <v>0</v>
      </c>
      <c r="Q18" s="32">
        <f t="shared" si="9"/>
        <v>4.2270917257532355E-2</v>
      </c>
    </row>
    <row r="19" spans="1:17" x14ac:dyDescent="0.3">
      <c r="A19" s="31" t="s">
        <v>44</v>
      </c>
      <c r="B19" s="2" t="str">
        <f>VLOOKUP(A19, 'Raw Data '!B19:C518, 2, FALSE)</f>
        <v>Vitamins</v>
      </c>
      <c r="C19" s="2">
        <f>LOOKUP(2,1/('Raw Data '!$B$2:$B$1000=A19), 'Raw Data '!$H$2:$H$1000)</f>
        <v>76</v>
      </c>
      <c r="D19" s="2">
        <f>VLOOKUP(A19, 'Raw Data '!$B$2:$I$501, 8, FALSE)</f>
        <v>20</v>
      </c>
      <c r="E19" s="2" t="str">
        <f t="shared" si="1"/>
        <v>Sufficient Stock</v>
      </c>
      <c r="F19" s="2">
        <f t="shared" si="2"/>
        <v>56</v>
      </c>
      <c r="G19" s="2">
        <f>SUMIF(Table1[Medicine], Table2[[#This Row],[Medicine]],Table1[Quantity Sold])</f>
        <v>196</v>
      </c>
      <c r="H19" s="3">
        <f>VLOOKUP(A19,'Raw Data '!B19:E518, 4, FALSE)</f>
        <v>1.48</v>
      </c>
      <c r="I19" s="4">
        <f t="shared" si="3"/>
        <v>290.08</v>
      </c>
      <c r="J19" s="5">
        <f>VLOOKUP(A19,'Raw Data '!B19:F518, 5, FALSE)</f>
        <v>2.2599999999999998</v>
      </c>
      <c r="K19" s="4">
        <f t="shared" si="4"/>
        <v>442.96</v>
      </c>
      <c r="L19" s="4">
        <f t="shared" si="5"/>
        <v>0.7799999999999998</v>
      </c>
      <c r="M19" s="4">
        <f t="shared" si="6"/>
        <v>152.87999999999997</v>
      </c>
      <c r="N19" s="6">
        <f t="shared" si="0"/>
        <v>0.34513274336283178</v>
      </c>
      <c r="O19" s="4">
        <f t="shared" si="7"/>
        <v>112.48</v>
      </c>
      <c r="P19" s="7">
        <f t="shared" si="8"/>
        <v>0</v>
      </c>
      <c r="Q19" s="32">
        <f t="shared" si="9"/>
        <v>1.9359911399646941E-2</v>
      </c>
    </row>
    <row r="20" spans="1:17" x14ac:dyDescent="0.3">
      <c r="A20" s="31" t="s">
        <v>45</v>
      </c>
      <c r="B20" s="2" t="str">
        <f>VLOOKUP(A20, 'Raw Data '!B20:C519, 2, FALSE)</f>
        <v>Hydration</v>
      </c>
      <c r="C20" s="2">
        <f>LOOKUP(2,1/('Raw Data '!$B$2:$B$1000=A20), 'Raw Data '!$H$2:$H$1000)</f>
        <v>16</v>
      </c>
      <c r="D20" s="2">
        <f>VLOOKUP(A20, 'Raw Data '!$B$2:$I$501, 8, FALSE)</f>
        <v>20</v>
      </c>
      <c r="E20" s="2" t="str">
        <f t="shared" si="1"/>
        <v>Reorder Soon</v>
      </c>
      <c r="F20" s="2">
        <f t="shared" si="2"/>
        <v>-4</v>
      </c>
      <c r="G20" s="2">
        <f>SUMIF(Table1[Medicine], Table2[[#This Row],[Medicine]],Table1[Quantity Sold])</f>
        <v>241</v>
      </c>
      <c r="H20" s="3">
        <f>VLOOKUP(A20,'Raw Data '!B20:E519, 4, FALSE)</f>
        <v>0.39</v>
      </c>
      <c r="I20" s="4">
        <f t="shared" si="3"/>
        <v>93.990000000000009</v>
      </c>
      <c r="J20" s="5">
        <f>VLOOKUP(A20,'Raw Data '!B20:F519, 5, FALSE)</f>
        <v>0.67</v>
      </c>
      <c r="K20" s="4">
        <f t="shared" si="4"/>
        <v>161.47</v>
      </c>
      <c r="L20" s="4">
        <f t="shared" si="5"/>
        <v>0.28000000000000003</v>
      </c>
      <c r="M20" s="4">
        <f t="shared" si="6"/>
        <v>67.48</v>
      </c>
      <c r="N20" s="6">
        <f t="shared" si="0"/>
        <v>0.41791044776119407</v>
      </c>
      <c r="O20" s="4">
        <f t="shared" si="7"/>
        <v>6.24</v>
      </c>
      <c r="P20" s="7">
        <f t="shared" si="8"/>
        <v>4</v>
      </c>
      <c r="Q20" s="32">
        <f>IFERROR(K20/SUM($K$2:$K$31),0)</f>
        <v>7.0571719651909689E-3</v>
      </c>
    </row>
    <row r="21" spans="1:17" x14ac:dyDescent="0.3">
      <c r="A21" s="31" t="s">
        <v>47</v>
      </c>
      <c r="B21" s="2" t="str">
        <f>VLOOKUP(A21, 'Raw Data '!B21:C520, 2, FALSE)</f>
        <v>Respiratory</v>
      </c>
      <c r="C21" s="2">
        <f>LOOKUP(2,1/('Raw Data '!$B$2:$B$1000=A21), 'Raw Data '!$H$2:$H$1000)</f>
        <v>49</v>
      </c>
      <c r="D21" s="2">
        <f>VLOOKUP(A21, 'Raw Data '!$B$2:$I$501, 8, FALSE)</f>
        <v>15</v>
      </c>
      <c r="E21" s="2" t="str">
        <f t="shared" si="1"/>
        <v>Sufficient Stock</v>
      </c>
      <c r="F21" s="2">
        <f t="shared" si="2"/>
        <v>34</v>
      </c>
      <c r="G21" s="2">
        <f>SUMIF(Table1[Medicine], Table2[[#This Row],[Medicine]],Table1[Quantity Sold])</f>
        <v>161</v>
      </c>
      <c r="H21" s="3">
        <f>VLOOKUP(A21,'Raw Data '!B21:E520, 4, FALSE)</f>
        <v>4.33</v>
      </c>
      <c r="I21" s="4">
        <f t="shared" si="3"/>
        <v>697.13</v>
      </c>
      <c r="J21" s="5">
        <f>VLOOKUP(A21,'Raw Data '!B21:F520, 5, FALSE)</f>
        <v>7.26</v>
      </c>
      <c r="K21" s="4">
        <f t="shared" si="4"/>
        <v>1168.8599999999999</v>
      </c>
      <c r="L21" s="4">
        <f t="shared" si="5"/>
        <v>2.9299999999999997</v>
      </c>
      <c r="M21" s="4">
        <f t="shared" si="6"/>
        <v>471.72999999999996</v>
      </c>
      <c r="N21" s="6">
        <f t="shared" si="0"/>
        <v>0.40358126721763088</v>
      </c>
      <c r="O21" s="4">
        <f t="shared" si="7"/>
        <v>212.17000000000002</v>
      </c>
      <c r="P21" s="7">
        <f t="shared" si="8"/>
        <v>0</v>
      </c>
      <c r="Q21" s="32">
        <f t="shared" si="9"/>
        <v>5.1085935611773797E-2</v>
      </c>
    </row>
    <row r="22" spans="1:17" x14ac:dyDescent="0.3">
      <c r="A22" s="31" t="s">
        <v>48</v>
      </c>
      <c r="B22" s="2" t="str">
        <f>VLOOKUP(A22, 'Raw Data '!B22:C521, 2, FALSE)</f>
        <v>Respiratory</v>
      </c>
      <c r="C22" s="2">
        <f>LOOKUP(2,1/('Raw Data '!$B$2:$B$1000=A22), 'Raw Data '!$H$2:$H$1000)</f>
        <v>60</v>
      </c>
      <c r="D22" s="2">
        <f>VLOOKUP(A22, 'Raw Data '!$B$2:$I$501, 8, FALSE)</f>
        <v>20</v>
      </c>
      <c r="E22" s="2" t="str">
        <f t="shared" si="1"/>
        <v>Sufficient Stock</v>
      </c>
      <c r="F22" s="2">
        <f t="shared" si="2"/>
        <v>40</v>
      </c>
      <c r="G22" s="2">
        <f>SUMIF(Table1[Medicine], Table2[[#This Row],[Medicine]],Table1[Quantity Sold])</f>
        <v>180</v>
      </c>
      <c r="H22" s="3">
        <f>VLOOKUP(A22,'Raw Data '!B22:E521, 4, FALSE)</f>
        <v>3.19</v>
      </c>
      <c r="I22" s="4">
        <f t="shared" si="3"/>
        <v>574.20000000000005</v>
      </c>
      <c r="J22" s="5">
        <f>VLOOKUP(A22,'Raw Data '!B22:F521, 5, FALSE)</f>
        <v>4.88</v>
      </c>
      <c r="K22" s="4">
        <f t="shared" si="4"/>
        <v>878.4</v>
      </c>
      <c r="L22" s="4">
        <f t="shared" si="5"/>
        <v>1.69</v>
      </c>
      <c r="M22" s="4">
        <f t="shared" si="6"/>
        <v>304.2</v>
      </c>
      <c r="N22" s="6">
        <f t="shared" si="0"/>
        <v>0.34631147540983609</v>
      </c>
      <c r="O22" s="4">
        <f t="shared" si="7"/>
        <v>191.4</v>
      </c>
      <c r="P22" s="7">
        <f t="shared" si="8"/>
        <v>0</v>
      </c>
      <c r="Q22" s="32">
        <f t="shared" si="9"/>
        <v>3.8391155349128299E-2</v>
      </c>
    </row>
    <row r="23" spans="1:17" x14ac:dyDescent="0.3">
      <c r="A23" s="31" t="s">
        <v>50</v>
      </c>
      <c r="B23" s="2" t="str">
        <f>VLOOKUP(A23, 'Raw Data '!B23:C522, 2, FALSE)</f>
        <v>Allergy</v>
      </c>
      <c r="C23" s="2">
        <f>LOOKUP(2,1/('Raw Data '!$B$2:$B$1000=A23), 'Raw Data '!$H$2:$H$1000)</f>
        <v>69</v>
      </c>
      <c r="D23" s="2">
        <f>VLOOKUP(A23, 'Raw Data '!$B$2:$I$501, 8, FALSE)</f>
        <v>20</v>
      </c>
      <c r="E23" s="2" t="str">
        <f t="shared" si="1"/>
        <v>Sufficient Stock</v>
      </c>
      <c r="F23" s="2">
        <f t="shared" si="2"/>
        <v>49</v>
      </c>
      <c r="G23" s="2">
        <f>SUMIF(Table1[Medicine], Table2[[#This Row],[Medicine]],Table1[Quantity Sold])</f>
        <v>275</v>
      </c>
      <c r="H23" s="3">
        <f>VLOOKUP(A23,'Raw Data '!B23:E522, 4, FALSE)</f>
        <v>0.85</v>
      </c>
      <c r="I23" s="4">
        <f t="shared" si="3"/>
        <v>233.75</v>
      </c>
      <c r="J23" s="5">
        <f>VLOOKUP(A23,'Raw Data '!B23:F522, 5, FALSE)</f>
        <v>1.1499999999999999</v>
      </c>
      <c r="K23" s="4">
        <f t="shared" si="4"/>
        <v>316.25</v>
      </c>
      <c r="L23" s="4">
        <f t="shared" si="5"/>
        <v>0.29999999999999993</v>
      </c>
      <c r="M23" s="4">
        <f t="shared" si="6"/>
        <v>82.499999999999986</v>
      </c>
      <c r="N23" s="6">
        <f t="shared" si="0"/>
        <v>0.26086956521739124</v>
      </c>
      <c r="O23" s="4">
        <f t="shared" si="7"/>
        <v>58.65</v>
      </c>
      <c r="P23" s="7">
        <f t="shared" si="8"/>
        <v>0</v>
      </c>
      <c r="Q23" s="32">
        <f t="shared" si="9"/>
        <v>1.3821952275912826E-2</v>
      </c>
    </row>
    <row r="24" spans="1:17" x14ac:dyDescent="0.3">
      <c r="A24" s="31" t="s">
        <v>51</v>
      </c>
      <c r="B24" s="2" t="str">
        <f>VLOOKUP(A24, 'Raw Data '!B24:C523, 2, FALSE)</f>
        <v>Antibiotic</v>
      </c>
      <c r="C24" s="2">
        <f>LOOKUP(2,1/('Raw Data '!$B$2:$B$1000=A24), 'Raw Data '!$H$2:$H$1000)</f>
        <v>28</v>
      </c>
      <c r="D24" s="2">
        <f>VLOOKUP(A24, 'Raw Data '!$B$2:$I$501, 8, FALSE)</f>
        <v>35</v>
      </c>
      <c r="E24" s="2" t="str">
        <f t="shared" si="1"/>
        <v>Reorder Soon</v>
      </c>
      <c r="F24" s="2">
        <f t="shared" si="2"/>
        <v>-7</v>
      </c>
      <c r="G24" s="2">
        <f>SUMIF(Table1[Medicine], Table2[[#This Row],[Medicine]],Table1[Quantity Sold])</f>
        <v>277</v>
      </c>
      <c r="H24" s="3">
        <f>VLOOKUP(A24,'Raw Data '!B24:E523, 4, FALSE)</f>
        <v>3.42</v>
      </c>
      <c r="I24" s="4">
        <f t="shared" si="3"/>
        <v>947.34</v>
      </c>
      <c r="J24" s="5">
        <f>VLOOKUP(A24,'Raw Data '!B24:F523, 5, FALSE)</f>
        <v>5.27</v>
      </c>
      <c r="K24" s="4">
        <f t="shared" si="4"/>
        <v>1459.79</v>
      </c>
      <c r="L24" s="4">
        <f t="shared" si="5"/>
        <v>1.8499999999999996</v>
      </c>
      <c r="M24" s="4">
        <f t="shared" si="6"/>
        <v>512.44999999999993</v>
      </c>
      <c r="N24" s="6">
        <f t="shared" si="0"/>
        <v>0.35104364326375709</v>
      </c>
      <c r="O24" s="4">
        <f t="shared" si="7"/>
        <v>95.759999999999991</v>
      </c>
      <c r="P24" s="7">
        <f t="shared" si="8"/>
        <v>7</v>
      </c>
      <c r="Q24" s="32">
        <f t="shared" si="9"/>
        <v>6.3801257590054644E-2</v>
      </c>
    </row>
    <row r="25" spans="1:17" x14ac:dyDescent="0.3">
      <c r="A25" s="31" t="s">
        <v>52</v>
      </c>
      <c r="B25" s="2" t="str">
        <f>VLOOKUP(A25, 'Raw Data '!B25:C524, 2, FALSE)</f>
        <v>Gastrointestinal</v>
      </c>
      <c r="C25" s="2">
        <f>LOOKUP(2,1/('Raw Data '!$B$2:$B$1000=A25), 'Raw Data '!$H$2:$H$1000)</f>
        <v>20</v>
      </c>
      <c r="D25" s="2">
        <f>VLOOKUP(A25, 'Raw Data '!$B$2:$I$501, 8, FALSE)</f>
        <v>35</v>
      </c>
      <c r="E25" s="2" t="str">
        <f t="shared" si="1"/>
        <v>Reorder Soon</v>
      </c>
      <c r="F25" s="2">
        <f t="shared" si="2"/>
        <v>-15</v>
      </c>
      <c r="G25" s="2">
        <f>SUMIF(Table1[Medicine], Table2[[#This Row],[Medicine]],Table1[Quantity Sold])</f>
        <v>488</v>
      </c>
      <c r="H25" s="3">
        <f>VLOOKUP(A25,'Raw Data '!B25:E524, 4, FALSE)</f>
        <v>1.89</v>
      </c>
      <c r="I25" s="4">
        <f t="shared" si="3"/>
        <v>922.31999999999994</v>
      </c>
      <c r="J25" s="5">
        <f>VLOOKUP(A25,'Raw Data '!B25:F524, 5, FALSE)</f>
        <v>3.03</v>
      </c>
      <c r="K25" s="4">
        <f t="shared" si="4"/>
        <v>1478.6399999999999</v>
      </c>
      <c r="L25" s="4">
        <f t="shared" si="5"/>
        <v>1.1399999999999999</v>
      </c>
      <c r="M25" s="4">
        <f t="shared" si="6"/>
        <v>556.31999999999994</v>
      </c>
      <c r="N25" s="6">
        <f t="shared" si="0"/>
        <v>0.37623762376237624</v>
      </c>
      <c r="O25" s="4">
        <f t="shared" si="7"/>
        <v>37.799999999999997</v>
      </c>
      <c r="P25" s="7">
        <f t="shared" si="8"/>
        <v>15</v>
      </c>
      <c r="Q25" s="32">
        <f t="shared" si="9"/>
        <v>6.4625111504365979E-2</v>
      </c>
    </row>
    <row r="26" spans="1:17" x14ac:dyDescent="0.3">
      <c r="A26" s="31" t="s">
        <v>53</v>
      </c>
      <c r="B26" s="2" t="str">
        <f>VLOOKUP(A26, 'Raw Data '!B26:C525, 2, FALSE)</f>
        <v>Cardiovascular</v>
      </c>
      <c r="C26" s="2">
        <f>LOOKUP(2,1/('Raw Data '!$B$2:$B$1000=A26), 'Raw Data '!$H$2:$H$1000)</f>
        <v>50</v>
      </c>
      <c r="D26" s="2">
        <f>VLOOKUP(A26, 'Raw Data '!$B$2:$I$501, 8, FALSE)</f>
        <v>20</v>
      </c>
      <c r="E26" s="2" t="str">
        <f t="shared" si="1"/>
        <v>Sufficient Stock</v>
      </c>
      <c r="F26" s="2">
        <f t="shared" si="2"/>
        <v>30</v>
      </c>
      <c r="G26" s="2">
        <f>SUMIF(Table1[Medicine], Table2[[#This Row],[Medicine]],Table1[Quantity Sold])</f>
        <v>188</v>
      </c>
      <c r="H26" s="3">
        <f>VLOOKUP(A26,'Raw Data '!B26:E525, 4, FALSE)</f>
        <v>1.04</v>
      </c>
      <c r="I26" s="4">
        <f t="shared" si="3"/>
        <v>195.52</v>
      </c>
      <c r="J26" s="5">
        <f>VLOOKUP(A26,'Raw Data '!B26:F525, 5, FALSE)</f>
        <v>1.58</v>
      </c>
      <c r="K26" s="4">
        <f t="shared" si="4"/>
        <v>297.04000000000002</v>
      </c>
      <c r="L26" s="4">
        <f t="shared" si="5"/>
        <v>0.54</v>
      </c>
      <c r="M26" s="4">
        <f t="shared" si="6"/>
        <v>101.52000000000001</v>
      </c>
      <c r="N26" s="6">
        <f t="shared" si="0"/>
        <v>0.34177215189873417</v>
      </c>
      <c r="O26" s="4">
        <f t="shared" si="7"/>
        <v>52</v>
      </c>
      <c r="P26" s="7">
        <f t="shared" si="8"/>
        <v>0</v>
      </c>
      <c r="Q26" s="32">
        <f t="shared" si="9"/>
        <v>1.2982364281540383E-2</v>
      </c>
    </row>
    <row r="27" spans="1:17" x14ac:dyDescent="0.3">
      <c r="A27" s="31" t="s">
        <v>54</v>
      </c>
      <c r="B27" s="2" t="str">
        <f>VLOOKUP(A27, 'Raw Data '!B27:C526, 2, FALSE)</f>
        <v>Vitamins</v>
      </c>
      <c r="C27" s="2">
        <f>LOOKUP(2,1/('Raw Data '!$B$2:$B$1000=A27), 'Raw Data '!$H$2:$H$1000)</f>
        <v>63</v>
      </c>
      <c r="D27" s="2">
        <f>VLOOKUP(A27, 'Raw Data '!$B$2:$I$501, 8, FALSE)</f>
        <v>35</v>
      </c>
      <c r="E27" s="2" t="str">
        <f t="shared" si="1"/>
        <v>Sufficient Stock</v>
      </c>
      <c r="F27" s="2">
        <f t="shared" si="2"/>
        <v>28</v>
      </c>
      <c r="G27" s="2">
        <f>SUMIF(Table1[Medicine], Table2[[#This Row],[Medicine]],Table1[Quantity Sold])</f>
        <v>387</v>
      </c>
      <c r="H27" s="3">
        <f>VLOOKUP(A27,'Raw Data '!B27:E526, 4, FALSE)</f>
        <v>1.0900000000000001</v>
      </c>
      <c r="I27" s="4">
        <f t="shared" si="3"/>
        <v>421.83000000000004</v>
      </c>
      <c r="J27" s="5">
        <f>VLOOKUP(A27,'Raw Data '!B27:F526, 5, FALSE)</f>
        <v>1.77</v>
      </c>
      <c r="K27" s="4">
        <f t="shared" si="4"/>
        <v>684.99</v>
      </c>
      <c r="L27" s="4">
        <f t="shared" si="5"/>
        <v>0.67999999999999994</v>
      </c>
      <c r="M27" s="4">
        <f t="shared" si="6"/>
        <v>263.15999999999997</v>
      </c>
      <c r="N27" s="6">
        <f t="shared" si="0"/>
        <v>0.38418079096045193</v>
      </c>
      <c r="O27" s="4">
        <f t="shared" si="7"/>
        <v>68.67</v>
      </c>
      <c r="P27" s="7">
        <f t="shared" si="8"/>
        <v>0</v>
      </c>
      <c r="Q27" s="32">
        <f t="shared" si="9"/>
        <v>2.9938020836292573E-2</v>
      </c>
    </row>
    <row r="28" spans="1:17" x14ac:dyDescent="0.3">
      <c r="A28" s="31" t="s">
        <v>55</v>
      </c>
      <c r="B28" s="2" t="str">
        <f>VLOOKUP(A28, 'Raw Data '!B28:C527, 2, FALSE)</f>
        <v>Dermatology</v>
      </c>
      <c r="C28" s="2">
        <f>LOOKUP(2,1/('Raw Data '!$B$2:$B$1000=A28), 'Raw Data '!$H$2:$H$1000)</f>
        <v>3</v>
      </c>
      <c r="D28" s="2">
        <f>VLOOKUP(A28, 'Raw Data '!$B$2:$I$501, 8, FALSE)</f>
        <v>15</v>
      </c>
      <c r="E28" s="2" t="str">
        <f t="shared" si="1"/>
        <v>Reorder Soon</v>
      </c>
      <c r="F28" s="2">
        <f t="shared" si="2"/>
        <v>-12</v>
      </c>
      <c r="G28" s="2">
        <f>SUMIF(Table1[Medicine], Table2[[#This Row],[Medicine]],Table1[Quantity Sold])</f>
        <v>96</v>
      </c>
      <c r="H28" s="3">
        <f>VLOOKUP(A28,'Raw Data '!B28:E527, 4, FALSE)</f>
        <v>2.25</v>
      </c>
      <c r="I28" s="4">
        <f t="shared" si="3"/>
        <v>216</v>
      </c>
      <c r="J28" s="5">
        <f>VLOOKUP(A28,'Raw Data '!B28:F527, 5, FALSE)</f>
        <v>3.07</v>
      </c>
      <c r="K28" s="4">
        <f t="shared" si="4"/>
        <v>294.71999999999997</v>
      </c>
      <c r="L28" s="4">
        <f t="shared" si="5"/>
        <v>0.81999999999999984</v>
      </c>
      <c r="M28" s="4">
        <f t="shared" si="6"/>
        <v>78.719999999999985</v>
      </c>
      <c r="N28" s="6">
        <f t="shared" si="0"/>
        <v>0.26710097719869702</v>
      </c>
      <c r="O28" s="4">
        <f t="shared" si="7"/>
        <v>6.75</v>
      </c>
      <c r="P28" s="7">
        <f t="shared" si="8"/>
        <v>12</v>
      </c>
      <c r="Q28" s="32">
        <f t="shared" si="9"/>
        <v>1.2880966876702064E-2</v>
      </c>
    </row>
    <row r="29" spans="1:17" x14ac:dyDescent="0.3">
      <c r="A29" s="31" t="s">
        <v>56</v>
      </c>
      <c r="B29" s="2" t="str">
        <f>VLOOKUP(A29, 'Raw Data '!B29:C528, 2, FALSE)</f>
        <v>Dermatology</v>
      </c>
      <c r="C29" s="2">
        <f>LOOKUP(2,1/('Raw Data '!$B$2:$B$1000=A29), 'Raw Data '!$H$2:$H$1000)</f>
        <v>8</v>
      </c>
      <c r="D29" s="2">
        <f>VLOOKUP(A29, 'Raw Data '!$B$2:$I$501, 8, FALSE)</f>
        <v>15</v>
      </c>
      <c r="E29" s="2" t="str">
        <f t="shared" si="1"/>
        <v>Reorder Soon</v>
      </c>
      <c r="F29" s="2">
        <f t="shared" si="2"/>
        <v>-7</v>
      </c>
      <c r="G29" s="2">
        <f>SUMIF(Table1[Medicine], Table2[[#This Row],[Medicine]],Table1[Quantity Sold])</f>
        <v>95</v>
      </c>
      <c r="H29" s="3">
        <f>VLOOKUP(A29,'Raw Data '!B29:E528, 4, FALSE)</f>
        <v>1.71</v>
      </c>
      <c r="I29" s="4">
        <f t="shared" si="3"/>
        <v>162.44999999999999</v>
      </c>
      <c r="J29" s="5">
        <f>VLOOKUP(A29,'Raw Data '!B29:F528, 5, FALSE)</f>
        <v>2.74</v>
      </c>
      <c r="K29" s="4">
        <f t="shared" si="4"/>
        <v>260.3</v>
      </c>
      <c r="L29" s="4">
        <f t="shared" si="5"/>
        <v>1.0300000000000002</v>
      </c>
      <c r="M29" s="4">
        <f t="shared" si="6"/>
        <v>97.850000000000023</v>
      </c>
      <c r="N29" s="6">
        <f t="shared" si="0"/>
        <v>0.37591240875912418</v>
      </c>
      <c r="O29" s="4">
        <f t="shared" si="7"/>
        <v>13.68</v>
      </c>
      <c r="P29" s="7">
        <f t="shared" si="8"/>
        <v>7</v>
      </c>
      <c r="Q29" s="32">
        <f t="shared" si="9"/>
        <v>1.1376613999747379E-2</v>
      </c>
    </row>
    <row r="30" spans="1:17" x14ac:dyDescent="0.3">
      <c r="A30" s="31" t="s">
        <v>57</v>
      </c>
      <c r="B30" s="2" t="str">
        <f>VLOOKUP(A30, 'Raw Data '!B30:C529, 2, FALSE)</f>
        <v>Supplements</v>
      </c>
      <c r="C30" s="2">
        <f>LOOKUP(2,1/('Raw Data '!$B$2:$B$1000=A30), 'Raw Data '!$H$2:$H$1000)</f>
        <v>23</v>
      </c>
      <c r="D30" s="2">
        <f>VLOOKUP(A30, 'Raw Data '!$B$2:$I$501, 8, FALSE)</f>
        <v>15</v>
      </c>
      <c r="E30" s="2" t="str">
        <f t="shared" si="1"/>
        <v>Sufficient Stock</v>
      </c>
      <c r="F30" s="2">
        <f t="shared" si="2"/>
        <v>8</v>
      </c>
      <c r="G30" s="2">
        <f>SUMIF(Table1[Medicine], Table2[[#This Row],[Medicine]],Table1[Quantity Sold])</f>
        <v>153</v>
      </c>
      <c r="H30" s="3">
        <f>VLOOKUP(A30,'Raw Data '!B30:E529, 4, FALSE)</f>
        <v>1.23</v>
      </c>
      <c r="I30" s="4">
        <f t="shared" si="3"/>
        <v>188.19</v>
      </c>
      <c r="J30" s="5">
        <f>VLOOKUP(A30,'Raw Data '!B30:F529, 5, FALSE)</f>
        <v>1.93</v>
      </c>
      <c r="K30" s="4">
        <f t="shared" si="4"/>
        <v>295.28999999999996</v>
      </c>
      <c r="L30" s="4">
        <f t="shared" si="5"/>
        <v>0.7</v>
      </c>
      <c r="M30" s="4">
        <f t="shared" si="6"/>
        <v>107.1</v>
      </c>
      <c r="N30" s="6">
        <f t="shared" si="0"/>
        <v>0.36269430051813473</v>
      </c>
      <c r="O30" s="4">
        <f t="shared" si="7"/>
        <v>28.29</v>
      </c>
      <c r="P30" s="7">
        <f t="shared" si="8"/>
        <v>0</v>
      </c>
      <c r="Q30" s="32">
        <f t="shared" si="9"/>
        <v>1.2905879170132167E-2</v>
      </c>
    </row>
    <row r="31" spans="1:17" x14ac:dyDescent="0.3">
      <c r="A31" s="36" t="s">
        <v>58</v>
      </c>
      <c r="B31" s="37" t="str">
        <f>VLOOKUP(A31, 'Raw Data '!B31:C530, 2, FALSE)</f>
        <v>Cardiovascular</v>
      </c>
      <c r="C31" s="2">
        <f>LOOKUP(2,1/('Raw Data '!$B$2:$B$1000=A31), 'Raw Data '!$H$2:$H$1000)</f>
        <v>12</v>
      </c>
      <c r="D31" s="2">
        <f>VLOOKUP(A31, 'Raw Data '!$B$2:$I$501, 8, FALSE)</f>
        <v>15</v>
      </c>
      <c r="E31" s="37" t="str">
        <f t="shared" si="1"/>
        <v>Reorder Soon</v>
      </c>
      <c r="F31" s="37">
        <f t="shared" si="2"/>
        <v>-3</v>
      </c>
      <c r="G31" s="2">
        <f>SUMIF(Table1[Medicine], Table2[[#This Row],[Medicine]],Table1[Quantity Sold])</f>
        <v>156</v>
      </c>
      <c r="H31" s="38">
        <f>VLOOKUP(A31,'Raw Data '!B31:E530, 4, FALSE)</f>
        <v>1.87</v>
      </c>
      <c r="I31" s="39">
        <f t="shared" si="3"/>
        <v>291.72000000000003</v>
      </c>
      <c r="J31" s="21">
        <f>VLOOKUP(A31,'Raw Data '!B31:F530, 5, FALSE)</f>
        <v>3.11</v>
      </c>
      <c r="K31" s="39">
        <f t="shared" si="4"/>
        <v>485.15999999999997</v>
      </c>
      <c r="L31" s="39">
        <f t="shared" si="5"/>
        <v>1.2399999999999998</v>
      </c>
      <c r="M31" s="39">
        <f t="shared" si="6"/>
        <v>193.43999999999997</v>
      </c>
      <c r="N31" s="40">
        <f t="shared" si="0"/>
        <v>0.39871382636655944</v>
      </c>
      <c r="O31" s="39">
        <f t="shared" si="7"/>
        <v>22.44</v>
      </c>
      <c r="P31" s="20">
        <f t="shared" si="8"/>
        <v>3</v>
      </c>
      <c r="Q31" s="41">
        <f>IFERROR(K31/SUM($K$2:$K$31),0)</f>
        <v>2.1204295229033568E-2</v>
      </c>
    </row>
    <row r="32" spans="1:17" x14ac:dyDescent="0.3">
      <c r="B32" s="1"/>
      <c r="C32" s="1"/>
      <c r="D32" s="1"/>
      <c r="E32" s="1"/>
      <c r="F32" s="1"/>
      <c r="G32" s="1"/>
      <c r="H32" s="1"/>
    </row>
    <row r="33" spans="2:8" x14ac:dyDescent="0.3">
      <c r="B33" s="1"/>
      <c r="C33" s="1"/>
      <c r="D33" s="1"/>
      <c r="E33" s="1"/>
      <c r="F33" s="1"/>
      <c r="G33" s="1"/>
      <c r="H33" s="1"/>
    </row>
    <row r="34" spans="2:8" x14ac:dyDescent="0.3">
      <c r="B34" s="1"/>
      <c r="C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"/>
      <c r="D37" s="1"/>
      <c r="E37" s="1"/>
      <c r="F37" s="1"/>
      <c r="G37" s="1"/>
      <c r="H37" s="1"/>
    </row>
    <row r="38" spans="2:8" x14ac:dyDescent="0.3">
      <c r="B38" s="1"/>
      <c r="C38" s="1"/>
      <c r="D38" s="1"/>
      <c r="E38" s="1"/>
      <c r="F38" s="1"/>
      <c r="G38" s="1"/>
      <c r="H38" s="1"/>
    </row>
    <row r="39" spans="2:8" x14ac:dyDescent="0.3">
      <c r="B39" s="1"/>
      <c r="C39" s="1"/>
      <c r="D39" s="1"/>
      <c r="E39" s="1"/>
      <c r="F39" s="1"/>
      <c r="G39" s="1"/>
      <c r="H39" s="1"/>
    </row>
    <row r="40" spans="2:8" x14ac:dyDescent="0.3">
      <c r="B40" s="1"/>
      <c r="C40" s="1"/>
      <c r="D40" s="1"/>
      <c r="E40" s="1"/>
      <c r="F40" s="1"/>
      <c r="G40" s="1"/>
      <c r="H40" s="1"/>
    </row>
    <row r="41" spans="2:8" x14ac:dyDescent="0.3">
      <c r="B41" s="1"/>
      <c r="C41" s="1"/>
      <c r="D41" s="1"/>
      <c r="E41" s="1"/>
      <c r="F41" s="1"/>
      <c r="G41" s="1"/>
      <c r="H41" s="1"/>
    </row>
    <row r="42" spans="2:8" x14ac:dyDescent="0.3">
      <c r="B42" s="1"/>
      <c r="C42" s="1"/>
      <c r="D42" s="1"/>
      <c r="E42" s="1"/>
      <c r="F42" s="1"/>
      <c r="G42" s="1"/>
      <c r="H42" s="1"/>
    </row>
    <row r="43" spans="2:8" x14ac:dyDescent="0.3">
      <c r="B43" s="1"/>
      <c r="C43" s="1"/>
      <c r="D43" s="1"/>
      <c r="E43" s="1"/>
      <c r="F43" s="1"/>
      <c r="G43" s="1"/>
      <c r="H43" s="1"/>
    </row>
    <row r="44" spans="2:8" x14ac:dyDescent="0.3">
      <c r="B44" s="1"/>
      <c r="C44" s="1"/>
      <c r="D44" s="1"/>
      <c r="E44" s="1"/>
      <c r="F44" s="1"/>
      <c r="G44" s="1"/>
      <c r="H44" s="1"/>
    </row>
    <row r="45" spans="2:8" x14ac:dyDescent="0.3">
      <c r="B45" s="1"/>
      <c r="C45" s="1"/>
      <c r="D45" s="1"/>
      <c r="E45" s="1"/>
      <c r="F45" s="1"/>
      <c r="G45" s="1"/>
      <c r="H45" s="1"/>
    </row>
    <row r="46" spans="2:8" x14ac:dyDescent="0.3">
      <c r="B46" s="1"/>
      <c r="C46" s="1"/>
      <c r="D46" s="1"/>
      <c r="E46" s="1"/>
      <c r="F46" s="1"/>
      <c r="G46" s="1"/>
      <c r="H46" s="1"/>
    </row>
    <row r="47" spans="2:8" x14ac:dyDescent="0.3">
      <c r="B47" s="1"/>
      <c r="C47" s="1"/>
      <c r="D47" s="1"/>
      <c r="E47" s="1"/>
      <c r="F47" s="1"/>
      <c r="G47" s="1"/>
      <c r="H47" s="1"/>
    </row>
    <row r="48" spans="2:8" x14ac:dyDescent="0.3">
      <c r="B48" s="1"/>
      <c r="C48" s="1"/>
      <c r="D48" s="1"/>
      <c r="E48" s="1"/>
      <c r="F48" s="1"/>
      <c r="G48" s="1"/>
      <c r="H48" s="1"/>
    </row>
    <row r="49" spans="2:8" x14ac:dyDescent="0.3">
      <c r="B49" s="1"/>
      <c r="C49" s="1"/>
      <c r="D49" s="1"/>
      <c r="E49" s="1"/>
      <c r="F49" s="1"/>
      <c r="G49" s="1"/>
      <c r="H49" s="1"/>
    </row>
    <row r="50" spans="2:8" x14ac:dyDescent="0.3">
      <c r="B50" s="1"/>
      <c r="C50" s="1"/>
      <c r="D50" s="1"/>
      <c r="E50" s="1"/>
      <c r="F50" s="1"/>
      <c r="G50" s="1"/>
      <c r="H50" s="1"/>
    </row>
    <row r="51" spans="2:8" x14ac:dyDescent="0.3">
      <c r="B51" s="1"/>
      <c r="C51" s="1"/>
      <c r="D51" s="1"/>
      <c r="E51" s="1"/>
      <c r="F51" s="1"/>
      <c r="G51" s="1"/>
      <c r="H51" s="1"/>
    </row>
    <row r="52" spans="2:8" x14ac:dyDescent="0.3">
      <c r="B52" s="1"/>
      <c r="C52" s="1"/>
      <c r="D52" s="1"/>
      <c r="E52" s="1"/>
      <c r="F52" s="1"/>
      <c r="G52" s="1"/>
      <c r="H52" s="1"/>
    </row>
    <row r="53" spans="2:8" x14ac:dyDescent="0.3">
      <c r="B53" s="1"/>
      <c r="C53" s="1"/>
      <c r="D53" s="1"/>
      <c r="E53" s="1"/>
      <c r="F53" s="1"/>
      <c r="G53" s="1"/>
      <c r="H53" s="1"/>
    </row>
    <row r="54" spans="2:8" x14ac:dyDescent="0.3">
      <c r="B54" s="1"/>
      <c r="C54" s="1"/>
      <c r="D54" s="1"/>
      <c r="E54" s="1"/>
      <c r="F54" s="1"/>
      <c r="G54" s="1"/>
      <c r="H54" s="1"/>
    </row>
    <row r="55" spans="2:8" x14ac:dyDescent="0.3">
      <c r="B55" s="1"/>
      <c r="C55" s="1"/>
      <c r="D55" s="1"/>
      <c r="E55" s="1"/>
      <c r="F55" s="1"/>
      <c r="G55" s="1"/>
      <c r="H55" s="1"/>
    </row>
    <row r="56" spans="2:8" x14ac:dyDescent="0.3">
      <c r="B56" s="1"/>
      <c r="C56" s="1"/>
      <c r="D56" s="1"/>
      <c r="E56" s="1"/>
      <c r="F56" s="1"/>
      <c r="G56" s="1"/>
      <c r="H56" s="1"/>
    </row>
    <row r="57" spans="2:8" x14ac:dyDescent="0.3">
      <c r="B57" s="1"/>
      <c r="C57" s="1"/>
      <c r="D57" s="1"/>
      <c r="E57" s="1"/>
      <c r="F57" s="1"/>
      <c r="G57" s="1"/>
      <c r="H57" s="1"/>
    </row>
    <row r="58" spans="2:8" x14ac:dyDescent="0.3">
      <c r="B58" s="1"/>
      <c r="C58" s="1"/>
      <c r="D58" s="1"/>
      <c r="E58" s="1"/>
      <c r="F58" s="1"/>
      <c r="G58" s="1"/>
      <c r="H58" s="1"/>
    </row>
    <row r="59" spans="2:8" x14ac:dyDescent="0.3">
      <c r="B59" s="1"/>
      <c r="C59" s="1"/>
      <c r="D59" s="1"/>
      <c r="E59" s="1"/>
      <c r="F59" s="1"/>
      <c r="G59" s="1"/>
      <c r="H59" s="1"/>
    </row>
    <row r="60" spans="2:8" x14ac:dyDescent="0.3">
      <c r="B60" s="1"/>
      <c r="C60" s="1"/>
      <c r="D60" s="1"/>
      <c r="E60" s="1"/>
      <c r="F60" s="1"/>
      <c r="G60" s="1"/>
      <c r="H60" s="1"/>
    </row>
    <row r="61" spans="2:8" x14ac:dyDescent="0.3">
      <c r="B61" s="1"/>
      <c r="C61" s="1"/>
      <c r="D61" s="1"/>
      <c r="E61" s="1"/>
      <c r="F61" s="1"/>
      <c r="G61" s="1"/>
      <c r="H61" s="1"/>
    </row>
    <row r="62" spans="2:8" x14ac:dyDescent="0.3">
      <c r="B62" s="1"/>
      <c r="C62" s="1"/>
      <c r="D62" s="1"/>
      <c r="E62" s="1"/>
      <c r="F62" s="1"/>
      <c r="G62" s="1"/>
      <c r="H62" s="1"/>
    </row>
    <row r="63" spans="2:8" x14ac:dyDescent="0.3">
      <c r="B63" s="1"/>
      <c r="C63" s="1"/>
      <c r="D63" s="1"/>
      <c r="E63" s="1"/>
      <c r="F63" s="1"/>
      <c r="G63" s="1"/>
      <c r="H63" s="1"/>
    </row>
    <row r="64" spans="2:8" x14ac:dyDescent="0.3">
      <c r="B64" s="1"/>
      <c r="C64" s="1"/>
      <c r="D64" s="1"/>
      <c r="E64" s="1"/>
      <c r="F64" s="1"/>
      <c r="G64" s="1"/>
      <c r="H64" s="1"/>
    </row>
    <row r="65" spans="2:8" x14ac:dyDescent="0.3">
      <c r="B65" s="1"/>
      <c r="C65" s="1"/>
      <c r="D65" s="1"/>
      <c r="E65" s="1"/>
      <c r="F65" s="1"/>
      <c r="G65" s="1"/>
      <c r="H65" s="1"/>
    </row>
    <row r="66" spans="2:8" x14ac:dyDescent="0.3">
      <c r="B66" s="1"/>
      <c r="C66" s="1"/>
      <c r="D66" s="1"/>
      <c r="E66" s="1"/>
      <c r="F66" s="1"/>
      <c r="G66" s="1"/>
      <c r="H66" s="1"/>
    </row>
    <row r="67" spans="2:8" x14ac:dyDescent="0.3">
      <c r="B67" s="1"/>
      <c r="C67" s="1"/>
      <c r="D67" s="1"/>
      <c r="E67" s="1"/>
      <c r="F67" s="1"/>
      <c r="G67" s="1"/>
      <c r="H67" s="1"/>
    </row>
    <row r="68" spans="2:8" x14ac:dyDescent="0.3">
      <c r="B68" s="1"/>
      <c r="C68" s="1"/>
      <c r="D68" s="1"/>
      <c r="E68" s="1"/>
      <c r="F68" s="1"/>
      <c r="G68" s="1"/>
      <c r="H68" s="1"/>
    </row>
    <row r="69" spans="2:8" x14ac:dyDescent="0.3">
      <c r="B69" s="1"/>
      <c r="C69" s="1"/>
      <c r="D69" s="1"/>
      <c r="E69" s="1"/>
      <c r="F69" s="1"/>
      <c r="G69" s="1"/>
      <c r="H69" s="1"/>
    </row>
    <row r="70" spans="2:8" x14ac:dyDescent="0.3">
      <c r="B70" s="1"/>
      <c r="C70" s="1"/>
      <c r="D70" s="1"/>
      <c r="E70" s="1"/>
      <c r="F70" s="1"/>
      <c r="G70" s="1"/>
      <c r="H70" s="1"/>
    </row>
    <row r="71" spans="2:8" x14ac:dyDescent="0.3">
      <c r="B71" s="1"/>
      <c r="C71" s="1"/>
      <c r="D71" s="1"/>
      <c r="E71" s="1"/>
      <c r="F71" s="1"/>
      <c r="G71" s="1"/>
      <c r="H71" s="1"/>
    </row>
    <row r="72" spans="2:8" x14ac:dyDescent="0.3">
      <c r="B72" s="1"/>
      <c r="C72" s="1"/>
      <c r="D72" s="1"/>
      <c r="E72" s="1"/>
      <c r="F72" s="1"/>
      <c r="G72" s="1"/>
      <c r="H72" s="1"/>
    </row>
    <row r="73" spans="2:8" x14ac:dyDescent="0.3">
      <c r="B73" s="1"/>
      <c r="C73" s="1"/>
      <c r="D73" s="1"/>
      <c r="E73" s="1"/>
      <c r="F73" s="1"/>
      <c r="G73" s="1"/>
      <c r="H73" s="1"/>
    </row>
    <row r="74" spans="2:8" x14ac:dyDescent="0.3">
      <c r="B74" s="1"/>
      <c r="C74" s="1"/>
      <c r="D74" s="1"/>
      <c r="E74" s="1"/>
      <c r="F74" s="1"/>
      <c r="G74" s="1"/>
      <c r="H74" s="1"/>
    </row>
    <row r="75" spans="2:8" x14ac:dyDescent="0.3">
      <c r="B75" s="1"/>
      <c r="C75" s="1"/>
      <c r="D75" s="1"/>
      <c r="E75" s="1"/>
      <c r="F75" s="1"/>
      <c r="G75" s="1"/>
      <c r="H75" s="1"/>
    </row>
    <row r="76" spans="2:8" x14ac:dyDescent="0.3">
      <c r="B76" s="1"/>
      <c r="C76" s="1"/>
      <c r="D76" s="1"/>
      <c r="E76" s="1"/>
      <c r="F76" s="1"/>
      <c r="G76" s="1"/>
      <c r="H76" s="1"/>
    </row>
    <row r="77" spans="2:8" x14ac:dyDescent="0.3">
      <c r="B77" s="1"/>
      <c r="C77" s="1"/>
      <c r="D77" s="1"/>
      <c r="E77" s="1"/>
      <c r="F77" s="1"/>
      <c r="G77" s="1"/>
      <c r="H77" s="1"/>
    </row>
    <row r="78" spans="2:8" x14ac:dyDescent="0.3">
      <c r="B78" s="1"/>
      <c r="C78" s="1"/>
      <c r="D78" s="1"/>
      <c r="E78" s="1"/>
      <c r="F78" s="1"/>
      <c r="G78" s="1"/>
      <c r="H78" s="1"/>
    </row>
    <row r="79" spans="2:8" x14ac:dyDescent="0.3">
      <c r="B79" s="1"/>
      <c r="C79" s="1"/>
      <c r="D79" s="1"/>
      <c r="E79" s="1"/>
      <c r="F79" s="1"/>
      <c r="G79" s="1"/>
      <c r="H79" s="1"/>
    </row>
    <row r="80" spans="2:8" x14ac:dyDescent="0.3">
      <c r="B80" s="1"/>
      <c r="C80" s="1"/>
      <c r="D80" s="1"/>
      <c r="E80" s="1"/>
      <c r="F80" s="1"/>
      <c r="G80" s="1"/>
      <c r="H80" s="1"/>
    </row>
    <row r="81" spans="2:8" x14ac:dyDescent="0.3">
      <c r="B81" s="1"/>
      <c r="C81" s="1"/>
      <c r="D81" s="1"/>
      <c r="E81" s="1"/>
      <c r="F81" s="1"/>
      <c r="G81" s="1"/>
      <c r="H81" s="1"/>
    </row>
    <row r="82" spans="2:8" x14ac:dyDescent="0.3">
      <c r="B82" s="1"/>
      <c r="C82" s="1"/>
      <c r="D82" s="1"/>
      <c r="E82" s="1"/>
      <c r="F82" s="1"/>
      <c r="G82" s="1"/>
      <c r="H82" s="1"/>
    </row>
    <row r="83" spans="2:8" x14ac:dyDescent="0.3">
      <c r="B83" s="1"/>
      <c r="C83" s="1"/>
      <c r="D83" s="1"/>
      <c r="E83" s="1"/>
      <c r="F83" s="1"/>
      <c r="G83" s="1"/>
      <c r="H83" s="1"/>
    </row>
    <row r="84" spans="2:8" x14ac:dyDescent="0.3">
      <c r="B84" s="1"/>
      <c r="C84" s="1"/>
      <c r="D84" s="1"/>
      <c r="E84" s="1"/>
      <c r="F84" s="1"/>
      <c r="G84" s="1"/>
      <c r="H84" s="1"/>
    </row>
    <row r="85" spans="2:8" x14ac:dyDescent="0.3">
      <c r="B85" s="1"/>
      <c r="C85" s="1"/>
      <c r="D85" s="1"/>
      <c r="E85" s="1"/>
      <c r="F85" s="1"/>
      <c r="G85" s="1"/>
      <c r="H85" s="1"/>
    </row>
    <row r="86" spans="2:8" x14ac:dyDescent="0.3">
      <c r="B86" s="1"/>
      <c r="C86" s="1"/>
      <c r="D86" s="1"/>
      <c r="E86" s="1"/>
      <c r="F86" s="1"/>
      <c r="G86" s="1"/>
      <c r="H86" s="1"/>
    </row>
    <row r="87" spans="2:8" x14ac:dyDescent="0.3">
      <c r="B87" s="1"/>
      <c r="C87" s="1"/>
      <c r="D87" s="1"/>
      <c r="E87" s="1"/>
      <c r="F87" s="1"/>
      <c r="G87" s="1"/>
      <c r="H87" s="1"/>
    </row>
    <row r="88" spans="2:8" x14ac:dyDescent="0.3">
      <c r="B88" s="1"/>
      <c r="C88" s="1"/>
      <c r="D88" s="1"/>
      <c r="E88" s="1"/>
      <c r="F88" s="1"/>
      <c r="G88" s="1"/>
      <c r="H88" s="1"/>
    </row>
    <row r="89" spans="2:8" x14ac:dyDescent="0.3">
      <c r="B89" s="1"/>
      <c r="C89" s="1"/>
      <c r="D89" s="1"/>
      <c r="E89" s="1"/>
      <c r="F89" s="1"/>
      <c r="G89" s="1"/>
      <c r="H89" s="1"/>
    </row>
    <row r="90" spans="2:8" x14ac:dyDescent="0.3">
      <c r="B90" s="1"/>
      <c r="C90" s="1"/>
      <c r="D90" s="1"/>
      <c r="E90" s="1"/>
      <c r="F90" s="1"/>
      <c r="G90" s="1"/>
      <c r="H90" s="1"/>
    </row>
    <row r="91" spans="2:8" x14ac:dyDescent="0.3">
      <c r="B91" s="1"/>
      <c r="C91" s="1"/>
      <c r="D91" s="1"/>
      <c r="E91" s="1"/>
      <c r="F91" s="1"/>
      <c r="G91" s="1"/>
      <c r="H91" s="1"/>
    </row>
    <row r="92" spans="2:8" x14ac:dyDescent="0.3">
      <c r="B92" s="1"/>
      <c r="C92" s="1"/>
      <c r="D92" s="1"/>
      <c r="E92" s="1"/>
      <c r="F92" s="1"/>
      <c r="G92" s="1"/>
      <c r="H92" s="1"/>
    </row>
    <row r="93" spans="2:8" x14ac:dyDescent="0.3">
      <c r="B93" s="1"/>
      <c r="C93" s="1"/>
      <c r="D93" s="1"/>
      <c r="E93" s="1"/>
      <c r="F93" s="1"/>
      <c r="G93" s="1"/>
      <c r="H93" s="1"/>
    </row>
    <row r="94" spans="2:8" x14ac:dyDescent="0.3">
      <c r="B94" s="1"/>
      <c r="C94" s="1"/>
      <c r="D94" s="1"/>
      <c r="E94" s="1"/>
      <c r="F94" s="1"/>
      <c r="G94" s="1"/>
      <c r="H94" s="1"/>
    </row>
    <row r="95" spans="2:8" x14ac:dyDescent="0.3">
      <c r="B95" s="1"/>
      <c r="C95" s="1"/>
      <c r="D95" s="1"/>
      <c r="E95" s="1"/>
      <c r="F95" s="1"/>
      <c r="G95" s="1"/>
      <c r="H95" s="1"/>
    </row>
    <row r="96" spans="2:8" x14ac:dyDescent="0.3">
      <c r="B96" s="1"/>
      <c r="C96" s="1"/>
      <c r="D96" s="1"/>
      <c r="E96" s="1"/>
      <c r="F96" s="1"/>
      <c r="G96" s="1"/>
      <c r="H96" s="1"/>
    </row>
    <row r="97" spans="2:8" x14ac:dyDescent="0.3">
      <c r="B97" s="1"/>
      <c r="C97" s="1"/>
      <c r="D97" s="1"/>
      <c r="E97" s="1"/>
      <c r="F97" s="1"/>
      <c r="G97" s="1"/>
      <c r="H97" s="1"/>
    </row>
    <row r="98" spans="2:8" x14ac:dyDescent="0.3">
      <c r="B98" s="1"/>
      <c r="C98" s="1"/>
      <c r="D98" s="1"/>
      <c r="E98" s="1"/>
      <c r="F98" s="1"/>
      <c r="G98" s="1"/>
      <c r="H98" s="1"/>
    </row>
    <row r="99" spans="2:8" x14ac:dyDescent="0.3">
      <c r="B99" s="1"/>
      <c r="C99" s="1"/>
      <c r="D99" s="1"/>
      <c r="E99" s="1"/>
      <c r="F99" s="1"/>
      <c r="G99" s="1"/>
      <c r="H99" s="1"/>
    </row>
    <row r="100" spans="2:8" x14ac:dyDescent="0.3">
      <c r="B100" s="1"/>
      <c r="C100" s="1"/>
      <c r="D100" s="1"/>
      <c r="E100" s="1"/>
      <c r="F100" s="1"/>
      <c r="G100" s="1"/>
      <c r="H100" s="1"/>
    </row>
    <row r="101" spans="2:8" x14ac:dyDescent="0.3">
      <c r="B101" s="1"/>
      <c r="C101" s="1"/>
      <c r="D101" s="1"/>
      <c r="E101" s="1"/>
      <c r="F101" s="1"/>
      <c r="G101" s="1"/>
      <c r="H101" s="1"/>
    </row>
    <row r="102" spans="2:8" x14ac:dyDescent="0.3">
      <c r="B102" s="1"/>
      <c r="C102" s="1"/>
      <c r="D102" s="1"/>
      <c r="E102" s="1"/>
      <c r="F102" s="1"/>
      <c r="G102" s="1"/>
      <c r="H102" s="1"/>
    </row>
    <row r="103" spans="2:8" x14ac:dyDescent="0.3">
      <c r="B103" s="1"/>
      <c r="C103" s="1"/>
      <c r="D103" s="1"/>
      <c r="E103" s="1"/>
      <c r="F103" s="1"/>
      <c r="G103" s="1"/>
      <c r="H103" s="1"/>
    </row>
    <row r="104" spans="2:8" x14ac:dyDescent="0.3">
      <c r="B104" s="1"/>
      <c r="C104" s="1"/>
      <c r="D104" s="1"/>
      <c r="E104" s="1"/>
      <c r="F104" s="1"/>
      <c r="G104" s="1"/>
      <c r="H104" s="1"/>
    </row>
    <row r="105" spans="2:8" x14ac:dyDescent="0.3">
      <c r="B105" s="1"/>
      <c r="C105" s="1"/>
      <c r="D105" s="1"/>
      <c r="E105" s="1"/>
      <c r="F105" s="1"/>
      <c r="G105" s="1"/>
      <c r="H105" s="1"/>
    </row>
    <row r="106" spans="2:8" x14ac:dyDescent="0.3">
      <c r="B106" s="1"/>
      <c r="C106" s="1"/>
      <c r="D106" s="1"/>
      <c r="E106" s="1"/>
      <c r="F106" s="1"/>
      <c r="G106" s="1"/>
      <c r="H106" s="1"/>
    </row>
    <row r="107" spans="2:8" x14ac:dyDescent="0.3">
      <c r="B107" s="1"/>
      <c r="C107" s="1"/>
      <c r="D107" s="1"/>
      <c r="E107" s="1"/>
      <c r="F107" s="1"/>
      <c r="G107" s="1"/>
      <c r="H107" s="1"/>
    </row>
    <row r="108" spans="2:8" x14ac:dyDescent="0.3">
      <c r="B108" s="1"/>
      <c r="C108" s="1"/>
      <c r="D108" s="1"/>
      <c r="E108" s="1"/>
      <c r="F108" s="1"/>
      <c r="G108" s="1"/>
      <c r="H108" s="1"/>
    </row>
    <row r="109" spans="2:8" x14ac:dyDescent="0.3">
      <c r="B109" s="1"/>
      <c r="C109" s="1"/>
      <c r="D109" s="1"/>
      <c r="E109" s="1"/>
      <c r="F109" s="1"/>
      <c r="G109" s="1"/>
      <c r="H109" s="1"/>
    </row>
    <row r="110" spans="2:8" x14ac:dyDescent="0.3">
      <c r="B110" s="1"/>
      <c r="C110" s="1"/>
      <c r="D110" s="1"/>
      <c r="E110" s="1"/>
      <c r="F110" s="1"/>
      <c r="G110" s="1"/>
      <c r="H110" s="1"/>
    </row>
    <row r="111" spans="2:8" x14ac:dyDescent="0.3">
      <c r="B111" s="1"/>
      <c r="C111" s="1"/>
      <c r="D111" s="1"/>
      <c r="E111" s="1"/>
      <c r="F111" s="1"/>
      <c r="G111" s="1"/>
      <c r="H111" s="1"/>
    </row>
    <row r="112" spans="2:8" x14ac:dyDescent="0.3">
      <c r="B112" s="1"/>
      <c r="C112" s="1"/>
      <c r="D112" s="1"/>
      <c r="E112" s="1"/>
      <c r="F112" s="1"/>
      <c r="G112" s="1"/>
      <c r="H112" s="1"/>
    </row>
    <row r="113" spans="2:8" x14ac:dyDescent="0.3">
      <c r="B113" s="1"/>
      <c r="C113" s="1"/>
      <c r="D113" s="1"/>
      <c r="E113" s="1"/>
      <c r="F113" s="1"/>
      <c r="G113" s="1"/>
      <c r="H113" s="1"/>
    </row>
    <row r="114" spans="2:8" x14ac:dyDescent="0.3">
      <c r="B114" s="1"/>
      <c r="C114" s="1"/>
      <c r="D114" s="1"/>
      <c r="E114" s="1"/>
      <c r="F114" s="1"/>
      <c r="G114" s="1"/>
      <c r="H114" s="1"/>
    </row>
    <row r="115" spans="2:8" x14ac:dyDescent="0.3">
      <c r="B115" s="1"/>
      <c r="C115" s="1"/>
      <c r="D115" s="1"/>
      <c r="E115" s="1"/>
      <c r="F115" s="1"/>
      <c r="G115" s="1"/>
      <c r="H115" s="1"/>
    </row>
    <row r="116" spans="2:8" x14ac:dyDescent="0.3">
      <c r="B116" s="1"/>
      <c r="C116" s="1"/>
      <c r="D116" s="1"/>
      <c r="E116" s="1"/>
      <c r="F116" s="1"/>
      <c r="G116" s="1"/>
      <c r="H116" s="1"/>
    </row>
    <row r="117" spans="2:8" x14ac:dyDescent="0.3">
      <c r="B117" s="1"/>
      <c r="C117" s="1"/>
      <c r="D117" s="1"/>
      <c r="E117" s="1"/>
      <c r="F117" s="1"/>
      <c r="G117" s="1"/>
      <c r="H117" s="1"/>
    </row>
    <row r="118" spans="2:8" x14ac:dyDescent="0.3">
      <c r="B118" s="1"/>
      <c r="C118" s="1"/>
      <c r="D118" s="1"/>
      <c r="E118" s="1"/>
      <c r="F118" s="1"/>
      <c r="G118" s="1"/>
      <c r="H118" s="1"/>
    </row>
    <row r="119" spans="2:8" x14ac:dyDescent="0.3">
      <c r="B119" s="1"/>
      <c r="C119" s="1"/>
      <c r="D119" s="1"/>
      <c r="E119" s="1"/>
      <c r="F119" s="1"/>
      <c r="G119" s="1"/>
      <c r="H119" s="1"/>
    </row>
    <row r="120" spans="2:8" x14ac:dyDescent="0.3">
      <c r="B120" s="1"/>
      <c r="C120" s="1"/>
      <c r="D120" s="1"/>
      <c r="E120" s="1"/>
      <c r="F120" s="1"/>
      <c r="G120" s="1"/>
      <c r="H120" s="1"/>
    </row>
    <row r="121" spans="2:8" x14ac:dyDescent="0.3">
      <c r="B121" s="1"/>
      <c r="C121" s="1"/>
      <c r="D121" s="1"/>
      <c r="E121" s="1"/>
      <c r="F121" s="1"/>
      <c r="G121" s="1"/>
      <c r="H121" s="1"/>
    </row>
    <row r="122" spans="2:8" x14ac:dyDescent="0.3">
      <c r="B122" s="1"/>
      <c r="C122" s="1"/>
      <c r="D122" s="1"/>
      <c r="E122" s="1"/>
      <c r="F122" s="1"/>
      <c r="G122" s="1"/>
      <c r="H122" s="1"/>
    </row>
    <row r="123" spans="2:8" x14ac:dyDescent="0.3">
      <c r="B123" s="1"/>
      <c r="C123" s="1"/>
      <c r="D123" s="1"/>
      <c r="E123" s="1"/>
      <c r="F123" s="1"/>
      <c r="G123" s="1"/>
      <c r="H123" s="1"/>
    </row>
    <row r="124" spans="2:8" x14ac:dyDescent="0.3">
      <c r="B124" s="1"/>
      <c r="C124" s="1"/>
      <c r="D124" s="1"/>
      <c r="E124" s="1"/>
      <c r="F124" s="1"/>
      <c r="G124" s="1"/>
      <c r="H124" s="1"/>
    </row>
    <row r="125" spans="2:8" x14ac:dyDescent="0.3">
      <c r="B125" s="1"/>
      <c r="C125" s="1"/>
      <c r="D125" s="1"/>
      <c r="E125" s="1"/>
      <c r="F125" s="1"/>
      <c r="G125" s="1"/>
      <c r="H125" s="1"/>
    </row>
    <row r="126" spans="2:8" x14ac:dyDescent="0.3">
      <c r="B126" s="1"/>
      <c r="C126" s="1"/>
      <c r="D126" s="1"/>
      <c r="E126" s="1"/>
      <c r="F126" s="1"/>
      <c r="G126" s="1"/>
      <c r="H126" s="1"/>
    </row>
    <row r="127" spans="2:8" x14ac:dyDescent="0.3">
      <c r="B127" s="1"/>
      <c r="C127" s="1"/>
      <c r="D127" s="1"/>
      <c r="E127" s="1"/>
      <c r="F127" s="1"/>
      <c r="G127" s="1"/>
      <c r="H127" s="1"/>
    </row>
    <row r="128" spans="2:8" x14ac:dyDescent="0.3">
      <c r="B128" s="1"/>
      <c r="C128" s="1"/>
      <c r="D128" s="1"/>
      <c r="E128" s="1"/>
      <c r="F128" s="1"/>
      <c r="G128" s="1"/>
      <c r="H128" s="1"/>
    </row>
    <row r="129" spans="2:8" x14ac:dyDescent="0.3">
      <c r="B129" s="1"/>
      <c r="C129" s="1"/>
      <c r="D129" s="1"/>
      <c r="E129" s="1"/>
      <c r="F129" s="1"/>
      <c r="G129" s="1"/>
      <c r="H129" s="1"/>
    </row>
    <row r="130" spans="2:8" x14ac:dyDescent="0.3">
      <c r="B130" s="1"/>
      <c r="C130" s="1"/>
      <c r="D130" s="1"/>
      <c r="E130" s="1"/>
      <c r="F130" s="1"/>
      <c r="G130" s="1"/>
      <c r="H130" s="1"/>
    </row>
    <row r="131" spans="2:8" x14ac:dyDescent="0.3">
      <c r="B131" s="1"/>
      <c r="C131" s="1"/>
      <c r="D131" s="1"/>
      <c r="E131" s="1"/>
      <c r="F131" s="1"/>
      <c r="G131" s="1"/>
      <c r="H131" s="1"/>
    </row>
    <row r="132" spans="2:8" x14ac:dyDescent="0.3">
      <c r="B132" s="1"/>
      <c r="C132" s="1"/>
      <c r="D132" s="1"/>
      <c r="E132" s="1"/>
      <c r="F132" s="1"/>
      <c r="G132" s="1"/>
      <c r="H132" s="1"/>
    </row>
    <row r="133" spans="2:8" x14ac:dyDescent="0.3">
      <c r="B133" s="1"/>
      <c r="C133" s="1"/>
      <c r="D133" s="1"/>
      <c r="E133" s="1"/>
      <c r="F133" s="1"/>
      <c r="G133" s="1"/>
      <c r="H133" s="1"/>
    </row>
    <row r="134" spans="2:8" x14ac:dyDescent="0.3">
      <c r="B134" s="1"/>
      <c r="C134" s="1"/>
      <c r="D134" s="1"/>
      <c r="E134" s="1"/>
      <c r="F134" s="1"/>
      <c r="G134" s="1"/>
      <c r="H134" s="1"/>
    </row>
    <row r="135" spans="2:8" x14ac:dyDescent="0.3">
      <c r="B135" s="1"/>
      <c r="C135" s="1"/>
      <c r="D135" s="1"/>
      <c r="E135" s="1"/>
      <c r="F135" s="1"/>
      <c r="G135" s="1"/>
      <c r="H135" s="1"/>
    </row>
    <row r="136" spans="2:8" x14ac:dyDescent="0.3">
      <c r="B136" s="1"/>
      <c r="C136" s="1"/>
      <c r="D136" s="1"/>
      <c r="E136" s="1"/>
      <c r="F136" s="1"/>
      <c r="G136" s="1"/>
      <c r="H136" s="1"/>
    </row>
    <row r="137" spans="2:8" x14ac:dyDescent="0.3">
      <c r="B137" s="1"/>
      <c r="C137" s="1"/>
      <c r="D137" s="1"/>
      <c r="E137" s="1"/>
      <c r="F137" s="1"/>
      <c r="G137" s="1"/>
      <c r="H137" s="1"/>
    </row>
    <row r="138" spans="2:8" x14ac:dyDescent="0.3">
      <c r="B138" s="1"/>
      <c r="C138" s="1"/>
      <c r="D138" s="1"/>
      <c r="E138" s="1"/>
      <c r="F138" s="1"/>
      <c r="G138" s="1"/>
      <c r="H138" s="1"/>
    </row>
    <row r="139" spans="2:8" x14ac:dyDescent="0.3">
      <c r="B139" s="1"/>
      <c r="C139" s="1"/>
      <c r="D139" s="1"/>
      <c r="E139" s="1"/>
      <c r="F139" s="1"/>
      <c r="G139" s="1"/>
      <c r="H139" s="1"/>
    </row>
    <row r="140" spans="2:8" x14ac:dyDescent="0.3">
      <c r="B140" s="1"/>
      <c r="C140" s="1"/>
      <c r="D140" s="1"/>
      <c r="E140" s="1"/>
      <c r="F140" s="1"/>
      <c r="G140" s="1"/>
      <c r="H140" s="1"/>
    </row>
    <row r="141" spans="2:8" x14ac:dyDescent="0.3">
      <c r="B141" s="1"/>
      <c r="C141" s="1"/>
      <c r="D141" s="1"/>
      <c r="E141" s="1"/>
      <c r="F141" s="1"/>
      <c r="G141" s="1"/>
      <c r="H141" s="1"/>
    </row>
    <row r="142" spans="2:8" x14ac:dyDescent="0.3">
      <c r="B142" s="1"/>
      <c r="C142" s="1"/>
      <c r="D142" s="1"/>
      <c r="E142" s="1"/>
      <c r="F142" s="1"/>
      <c r="G142" s="1"/>
      <c r="H142" s="1"/>
    </row>
    <row r="143" spans="2:8" x14ac:dyDescent="0.3">
      <c r="B143" s="1"/>
      <c r="C143" s="1"/>
      <c r="D143" s="1"/>
      <c r="E143" s="1"/>
      <c r="F143" s="1"/>
      <c r="G143" s="1"/>
      <c r="H143" s="1"/>
    </row>
    <row r="144" spans="2:8" x14ac:dyDescent="0.3">
      <c r="B144" s="1"/>
      <c r="C144" s="1"/>
      <c r="D144" s="1"/>
      <c r="E144" s="1"/>
      <c r="F144" s="1"/>
      <c r="G144" s="1"/>
      <c r="H144" s="1"/>
    </row>
    <row r="145" spans="2:8" x14ac:dyDescent="0.3">
      <c r="B145" s="1"/>
      <c r="C145" s="1"/>
      <c r="D145" s="1"/>
      <c r="E145" s="1"/>
      <c r="F145" s="1"/>
      <c r="G145" s="1"/>
      <c r="H145" s="1"/>
    </row>
    <row r="146" spans="2:8" x14ac:dyDescent="0.3">
      <c r="B146" s="1"/>
      <c r="C146" s="1"/>
      <c r="D146" s="1"/>
      <c r="E146" s="1"/>
      <c r="F146" s="1"/>
      <c r="G146" s="1"/>
      <c r="H146" s="1"/>
    </row>
    <row r="147" spans="2:8" x14ac:dyDescent="0.3">
      <c r="B147" s="1"/>
      <c r="C147" s="1"/>
      <c r="D147" s="1"/>
      <c r="E147" s="1"/>
      <c r="F147" s="1"/>
      <c r="G147" s="1"/>
      <c r="H147" s="1"/>
    </row>
    <row r="148" spans="2:8" x14ac:dyDescent="0.3">
      <c r="B148" s="1"/>
      <c r="C148" s="1"/>
      <c r="D148" s="1"/>
      <c r="E148" s="1"/>
      <c r="F148" s="1"/>
      <c r="G148" s="1"/>
      <c r="H148" s="1"/>
    </row>
    <row r="149" spans="2:8" x14ac:dyDescent="0.3">
      <c r="B149" s="1"/>
      <c r="C149" s="1"/>
      <c r="D149" s="1"/>
      <c r="E149" s="1"/>
      <c r="F149" s="1"/>
      <c r="G149" s="1"/>
      <c r="H149" s="1"/>
    </row>
    <row r="150" spans="2:8" x14ac:dyDescent="0.3">
      <c r="B150" s="1"/>
      <c r="C150" s="1"/>
      <c r="D150" s="1"/>
      <c r="E150" s="1"/>
      <c r="F150" s="1"/>
      <c r="G150" s="1"/>
      <c r="H150" s="1"/>
    </row>
    <row r="151" spans="2:8" x14ac:dyDescent="0.3">
      <c r="B151" s="1"/>
      <c r="C151" s="1"/>
      <c r="D151" s="1"/>
      <c r="E151" s="1"/>
      <c r="F151" s="1"/>
      <c r="G151" s="1"/>
      <c r="H151" s="1"/>
    </row>
    <row r="152" spans="2:8" x14ac:dyDescent="0.3">
      <c r="B152" s="1"/>
      <c r="C152" s="1"/>
      <c r="D152" s="1"/>
      <c r="E152" s="1"/>
      <c r="F152" s="1"/>
      <c r="G152" s="1"/>
      <c r="H152" s="1"/>
    </row>
    <row r="153" spans="2:8" x14ac:dyDescent="0.3">
      <c r="B153" s="1"/>
      <c r="C153" s="1"/>
      <c r="D153" s="1"/>
      <c r="E153" s="1"/>
      <c r="F153" s="1"/>
      <c r="G153" s="1"/>
      <c r="H153" s="1"/>
    </row>
    <row r="154" spans="2:8" x14ac:dyDescent="0.3">
      <c r="B154" s="1"/>
      <c r="C154" s="1"/>
      <c r="D154" s="1"/>
      <c r="E154" s="1"/>
      <c r="F154" s="1"/>
      <c r="G154" s="1"/>
      <c r="H154" s="1"/>
    </row>
    <row r="155" spans="2:8" x14ac:dyDescent="0.3">
      <c r="B155" s="1"/>
      <c r="C155" s="1"/>
      <c r="D155" s="1"/>
      <c r="E155" s="1"/>
      <c r="F155" s="1"/>
      <c r="G155" s="1"/>
      <c r="H155" s="1"/>
    </row>
    <row r="156" spans="2:8" x14ac:dyDescent="0.3">
      <c r="B156" s="1"/>
      <c r="C156" s="1"/>
      <c r="D156" s="1"/>
      <c r="E156" s="1"/>
      <c r="F156" s="1"/>
      <c r="G156" s="1"/>
      <c r="H156" s="1"/>
    </row>
    <row r="157" spans="2:8" x14ac:dyDescent="0.3">
      <c r="B157" s="1"/>
      <c r="C157" s="1"/>
      <c r="D157" s="1"/>
      <c r="E157" s="1"/>
      <c r="F157" s="1"/>
      <c r="G157" s="1"/>
      <c r="H157" s="1"/>
    </row>
    <row r="158" spans="2:8" x14ac:dyDescent="0.3">
      <c r="B158" s="1"/>
      <c r="C158" s="1"/>
      <c r="D158" s="1"/>
      <c r="E158" s="1"/>
      <c r="F158" s="1"/>
      <c r="G158" s="1"/>
      <c r="H158" s="1"/>
    </row>
    <row r="159" spans="2:8" x14ac:dyDescent="0.3">
      <c r="B159" s="1"/>
      <c r="C159" s="1"/>
      <c r="D159" s="1"/>
      <c r="E159" s="1"/>
      <c r="F159" s="1"/>
      <c r="G159" s="1"/>
      <c r="H159" s="1"/>
    </row>
    <row r="160" spans="2:8" x14ac:dyDescent="0.3">
      <c r="B160" s="1"/>
      <c r="C160" s="1"/>
      <c r="D160" s="1"/>
      <c r="E160" s="1"/>
      <c r="F160" s="1"/>
      <c r="G160" s="1"/>
      <c r="H160" s="1"/>
    </row>
    <row r="161" spans="2:8" x14ac:dyDescent="0.3">
      <c r="B161" s="1"/>
      <c r="C161" s="1"/>
      <c r="D161" s="1"/>
      <c r="E161" s="1"/>
      <c r="F161" s="1"/>
      <c r="G161" s="1"/>
      <c r="H161" s="1"/>
    </row>
    <row r="162" spans="2:8" x14ac:dyDescent="0.3">
      <c r="B162" s="1"/>
      <c r="C162" s="1"/>
      <c r="D162" s="1"/>
      <c r="E162" s="1"/>
      <c r="F162" s="1"/>
      <c r="G162" s="1"/>
      <c r="H162" s="1"/>
    </row>
    <row r="163" spans="2:8" x14ac:dyDescent="0.3">
      <c r="B163" s="1"/>
      <c r="C163" s="1"/>
      <c r="D163" s="1"/>
      <c r="E163" s="1"/>
      <c r="F163" s="1"/>
      <c r="G163" s="1"/>
      <c r="H163" s="1"/>
    </row>
    <row r="164" spans="2:8" x14ac:dyDescent="0.3">
      <c r="B164" s="1"/>
      <c r="C164" s="1"/>
      <c r="D164" s="1"/>
      <c r="E164" s="1"/>
      <c r="F164" s="1"/>
      <c r="G164" s="1"/>
      <c r="H164" s="1"/>
    </row>
    <row r="165" spans="2:8" x14ac:dyDescent="0.3">
      <c r="B165" s="1"/>
      <c r="C165" s="1"/>
      <c r="D165" s="1"/>
      <c r="E165" s="1"/>
      <c r="F165" s="1"/>
      <c r="G165" s="1"/>
      <c r="H165" s="1"/>
    </row>
    <row r="166" spans="2:8" x14ac:dyDescent="0.3">
      <c r="B166" s="1"/>
      <c r="C166" s="1"/>
      <c r="D166" s="1"/>
      <c r="E166" s="1"/>
      <c r="F166" s="1"/>
      <c r="G166" s="1"/>
      <c r="H166" s="1"/>
    </row>
    <row r="167" spans="2:8" x14ac:dyDescent="0.3">
      <c r="B167" s="1"/>
      <c r="C167" s="1"/>
      <c r="D167" s="1"/>
      <c r="E167" s="1"/>
      <c r="F167" s="1"/>
      <c r="G167" s="1"/>
      <c r="H167" s="1"/>
    </row>
    <row r="168" spans="2:8" x14ac:dyDescent="0.3">
      <c r="B168" s="1"/>
      <c r="C168" s="1"/>
      <c r="D168" s="1"/>
      <c r="E168" s="1"/>
      <c r="F168" s="1"/>
      <c r="G168" s="1"/>
      <c r="H168" s="1"/>
    </row>
    <row r="169" spans="2:8" x14ac:dyDescent="0.3">
      <c r="B169" s="1"/>
      <c r="C169" s="1"/>
      <c r="D169" s="1"/>
      <c r="E169" s="1"/>
      <c r="F169" s="1"/>
      <c r="G169" s="1"/>
      <c r="H169" s="1"/>
    </row>
    <row r="170" spans="2:8" x14ac:dyDescent="0.3">
      <c r="B170" s="1"/>
      <c r="C170" s="1"/>
      <c r="D170" s="1"/>
      <c r="E170" s="1"/>
      <c r="F170" s="1"/>
      <c r="G170" s="1"/>
      <c r="H170" s="1"/>
    </row>
    <row r="171" spans="2:8" x14ac:dyDescent="0.3">
      <c r="B171" s="1"/>
      <c r="C171" s="1"/>
      <c r="D171" s="1"/>
      <c r="E171" s="1"/>
      <c r="F171" s="1"/>
      <c r="G171" s="1"/>
      <c r="H171" s="1"/>
    </row>
    <row r="172" spans="2:8" x14ac:dyDescent="0.3">
      <c r="B172" s="1"/>
      <c r="C172" s="1"/>
      <c r="D172" s="1"/>
      <c r="E172" s="1"/>
      <c r="F172" s="1"/>
      <c r="G172" s="1"/>
      <c r="H172" s="1"/>
    </row>
    <row r="173" spans="2:8" x14ac:dyDescent="0.3">
      <c r="B173" s="1"/>
      <c r="C173" s="1"/>
      <c r="D173" s="1"/>
      <c r="E173" s="1"/>
      <c r="F173" s="1"/>
      <c r="G173" s="1"/>
      <c r="H173" s="1"/>
    </row>
    <row r="174" spans="2:8" x14ac:dyDescent="0.3">
      <c r="B174" s="1"/>
      <c r="C174" s="1"/>
      <c r="D174" s="1"/>
      <c r="E174" s="1"/>
      <c r="F174" s="1"/>
      <c r="G174" s="1"/>
      <c r="H174" s="1"/>
    </row>
    <row r="175" spans="2:8" x14ac:dyDescent="0.3">
      <c r="B175" s="1"/>
      <c r="C175" s="1"/>
      <c r="D175" s="1"/>
      <c r="E175" s="1"/>
      <c r="F175" s="1"/>
      <c r="G175" s="1"/>
      <c r="H175" s="1"/>
    </row>
    <row r="176" spans="2:8" x14ac:dyDescent="0.3">
      <c r="B176" s="1"/>
      <c r="C176" s="1"/>
      <c r="D176" s="1"/>
      <c r="E176" s="1"/>
      <c r="F176" s="1"/>
      <c r="G176" s="1"/>
      <c r="H176" s="1"/>
    </row>
    <row r="177" spans="2:8" x14ac:dyDescent="0.3">
      <c r="B177" s="1"/>
      <c r="C177" s="1"/>
      <c r="D177" s="1"/>
      <c r="E177" s="1"/>
      <c r="F177" s="1"/>
      <c r="G177" s="1"/>
      <c r="H177" s="1"/>
    </row>
    <row r="178" spans="2:8" x14ac:dyDescent="0.3">
      <c r="B178" s="1"/>
      <c r="C178" s="1"/>
      <c r="D178" s="1"/>
      <c r="E178" s="1"/>
      <c r="F178" s="1"/>
      <c r="G178" s="1"/>
      <c r="H178" s="1"/>
    </row>
    <row r="179" spans="2:8" x14ac:dyDescent="0.3">
      <c r="B179" s="1"/>
      <c r="C179" s="1"/>
      <c r="D179" s="1"/>
      <c r="E179" s="1"/>
      <c r="F179" s="1"/>
      <c r="G179" s="1"/>
      <c r="H179" s="1"/>
    </row>
    <row r="180" spans="2:8" x14ac:dyDescent="0.3">
      <c r="B180" s="1"/>
      <c r="C180" s="1"/>
      <c r="D180" s="1"/>
      <c r="E180" s="1"/>
      <c r="F180" s="1"/>
      <c r="G180" s="1"/>
      <c r="H180" s="1"/>
    </row>
    <row r="181" spans="2:8" x14ac:dyDescent="0.3">
      <c r="B181" s="1"/>
      <c r="C181" s="1"/>
      <c r="D181" s="1"/>
      <c r="E181" s="1"/>
      <c r="F181" s="1"/>
      <c r="G181" s="1"/>
      <c r="H181" s="1"/>
    </row>
    <row r="182" spans="2:8" x14ac:dyDescent="0.3">
      <c r="B182" s="1"/>
      <c r="C182" s="1"/>
      <c r="D182" s="1"/>
      <c r="E182" s="1"/>
      <c r="F182" s="1"/>
      <c r="G182" s="1"/>
      <c r="H182" s="1"/>
    </row>
    <row r="183" spans="2:8" x14ac:dyDescent="0.3">
      <c r="B183" s="1"/>
      <c r="C183" s="1"/>
      <c r="D183" s="1"/>
      <c r="E183" s="1"/>
      <c r="F183" s="1"/>
      <c r="G183" s="1"/>
      <c r="H183" s="1"/>
    </row>
    <row r="184" spans="2:8" x14ac:dyDescent="0.3">
      <c r="B184" s="1"/>
      <c r="C184" s="1"/>
      <c r="D184" s="1"/>
      <c r="E184" s="1"/>
      <c r="F184" s="1"/>
      <c r="G184" s="1"/>
      <c r="H184" s="1"/>
    </row>
    <row r="185" spans="2:8" x14ac:dyDescent="0.3">
      <c r="B185" s="1"/>
      <c r="C185" s="1"/>
      <c r="D185" s="1"/>
      <c r="E185" s="1"/>
      <c r="F185" s="1"/>
      <c r="G185" s="1"/>
      <c r="H185" s="1"/>
    </row>
    <row r="186" spans="2:8" x14ac:dyDescent="0.3">
      <c r="B186" s="1"/>
      <c r="C186" s="1"/>
      <c r="D186" s="1"/>
      <c r="E186" s="1"/>
      <c r="F186" s="1"/>
      <c r="G186" s="1"/>
      <c r="H186" s="1"/>
    </row>
    <row r="187" spans="2:8" x14ac:dyDescent="0.3">
      <c r="B187" s="1"/>
      <c r="C187" s="1"/>
      <c r="D187" s="1"/>
      <c r="E187" s="1"/>
      <c r="F187" s="1"/>
      <c r="G187" s="1"/>
      <c r="H187" s="1"/>
    </row>
    <row r="188" spans="2:8" x14ac:dyDescent="0.3">
      <c r="B188" s="1"/>
      <c r="C188" s="1"/>
      <c r="D188" s="1"/>
      <c r="E188" s="1"/>
      <c r="F188" s="1"/>
      <c r="G188" s="1"/>
      <c r="H188" s="1"/>
    </row>
    <row r="189" spans="2:8" x14ac:dyDescent="0.3">
      <c r="B189" s="1"/>
      <c r="C189" s="1"/>
      <c r="D189" s="1"/>
      <c r="E189" s="1"/>
      <c r="F189" s="1"/>
      <c r="G189" s="1"/>
      <c r="H189" s="1"/>
    </row>
    <row r="190" spans="2:8" x14ac:dyDescent="0.3">
      <c r="B190" s="1"/>
      <c r="C190" s="1"/>
      <c r="D190" s="1"/>
      <c r="E190" s="1"/>
      <c r="F190" s="1"/>
      <c r="G190" s="1"/>
      <c r="H190" s="1"/>
    </row>
    <row r="191" spans="2:8" x14ac:dyDescent="0.3">
      <c r="B191" s="1"/>
      <c r="C191" s="1"/>
      <c r="D191" s="1"/>
      <c r="E191" s="1"/>
      <c r="F191" s="1"/>
      <c r="G191" s="1"/>
      <c r="H191" s="1"/>
    </row>
    <row r="192" spans="2:8" x14ac:dyDescent="0.3">
      <c r="B192" s="1"/>
      <c r="C192" s="1"/>
      <c r="D192" s="1"/>
      <c r="E192" s="1"/>
      <c r="F192" s="1"/>
      <c r="G192" s="1"/>
      <c r="H192" s="1"/>
    </row>
    <row r="193" spans="2:8" x14ac:dyDescent="0.3">
      <c r="B193" s="1"/>
      <c r="C193" s="1"/>
      <c r="D193" s="1"/>
      <c r="E193" s="1"/>
      <c r="F193" s="1"/>
      <c r="G193" s="1"/>
      <c r="H193" s="1"/>
    </row>
    <row r="194" spans="2:8" x14ac:dyDescent="0.3">
      <c r="B194" s="1"/>
      <c r="C194" s="1"/>
      <c r="D194" s="1"/>
      <c r="E194" s="1"/>
      <c r="F194" s="1"/>
      <c r="G194" s="1"/>
      <c r="H194" s="1"/>
    </row>
    <row r="195" spans="2:8" x14ac:dyDescent="0.3">
      <c r="B195" s="1"/>
      <c r="C195" s="1"/>
      <c r="D195" s="1"/>
      <c r="E195" s="1"/>
      <c r="F195" s="1"/>
      <c r="G195" s="1"/>
      <c r="H195" s="1"/>
    </row>
    <row r="196" spans="2:8" x14ac:dyDescent="0.3">
      <c r="B196" s="1"/>
      <c r="C196" s="1"/>
      <c r="D196" s="1"/>
      <c r="E196" s="1"/>
      <c r="F196" s="1"/>
      <c r="G196" s="1"/>
      <c r="H196" s="1"/>
    </row>
    <row r="197" spans="2:8" x14ac:dyDescent="0.3">
      <c r="B197" s="1"/>
      <c r="C197" s="1"/>
      <c r="D197" s="1"/>
      <c r="E197" s="1"/>
      <c r="F197" s="1"/>
      <c r="G197" s="1"/>
      <c r="H197" s="1"/>
    </row>
    <row r="198" spans="2:8" x14ac:dyDescent="0.3">
      <c r="B198" s="1"/>
      <c r="C198" s="1"/>
      <c r="D198" s="1"/>
      <c r="E198" s="1"/>
      <c r="F198" s="1"/>
      <c r="G198" s="1"/>
      <c r="H198" s="1"/>
    </row>
    <row r="199" spans="2:8" x14ac:dyDescent="0.3">
      <c r="B199" s="1"/>
      <c r="C199" s="1"/>
      <c r="D199" s="1"/>
      <c r="E199" s="1"/>
      <c r="F199" s="1"/>
      <c r="G199" s="1"/>
      <c r="H199" s="1"/>
    </row>
    <row r="200" spans="2:8" x14ac:dyDescent="0.3">
      <c r="B200" s="1"/>
      <c r="C200" s="1"/>
      <c r="D200" s="1"/>
      <c r="E200" s="1"/>
      <c r="F200" s="1"/>
      <c r="G200" s="1"/>
      <c r="H200" s="1"/>
    </row>
    <row r="201" spans="2:8" x14ac:dyDescent="0.3">
      <c r="B201" s="1"/>
      <c r="C201" s="1"/>
      <c r="D201" s="1"/>
      <c r="E201" s="1"/>
      <c r="F201" s="1"/>
      <c r="G201" s="1"/>
      <c r="H201" s="1"/>
    </row>
    <row r="202" spans="2:8" x14ac:dyDescent="0.3">
      <c r="B202" s="1"/>
      <c r="C202" s="1"/>
      <c r="D202" s="1"/>
      <c r="E202" s="1"/>
      <c r="F202" s="1"/>
      <c r="G202" s="1"/>
      <c r="H202" s="1"/>
    </row>
    <row r="203" spans="2:8" x14ac:dyDescent="0.3">
      <c r="B203" s="1"/>
      <c r="C203" s="1"/>
      <c r="D203" s="1"/>
      <c r="E203" s="1"/>
      <c r="F203" s="1"/>
      <c r="G203" s="1"/>
      <c r="H203" s="1"/>
    </row>
    <row r="204" spans="2:8" x14ac:dyDescent="0.3">
      <c r="B204" s="1"/>
      <c r="C204" s="1"/>
      <c r="D204" s="1"/>
      <c r="E204" s="1"/>
      <c r="F204" s="1"/>
      <c r="G204" s="1"/>
      <c r="H204" s="1"/>
    </row>
    <row r="205" spans="2:8" x14ac:dyDescent="0.3">
      <c r="B205" s="1"/>
      <c r="C205" s="1"/>
      <c r="D205" s="1"/>
      <c r="E205" s="1"/>
      <c r="F205" s="1"/>
      <c r="G205" s="1"/>
      <c r="H205" s="1"/>
    </row>
    <row r="206" spans="2:8" x14ac:dyDescent="0.3">
      <c r="B206" s="1"/>
      <c r="C206" s="1"/>
      <c r="D206" s="1"/>
      <c r="E206" s="1"/>
      <c r="F206" s="1"/>
      <c r="G206" s="1"/>
      <c r="H206" s="1"/>
    </row>
    <row r="207" spans="2:8" x14ac:dyDescent="0.3">
      <c r="B207" s="1"/>
      <c r="C207" s="1"/>
      <c r="D207" s="1"/>
      <c r="E207" s="1"/>
      <c r="F207" s="1"/>
      <c r="G207" s="1"/>
      <c r="H207" s="1"/>
    </row>
    <row r="208" spans="2:8" x14ac:dyDescent="0.3">
      <c r="B208" s="1"/>
      <c r="C208" s="1"/>
      <c r="D208" s="1"/>
      <c r="E208" s="1"/>
      <c r="F208" s="1"/>
      <c r="G208" s="1"/>
      <c r="H208" s="1"/>
    </row>
    <row r="209" spans="2:8" x14ac:dyDescent="0.3">
      <c r="B209" s="1"/>
      <c r="C209" s="1"/>
      <c r="D209" s="1"/>
      <c r="E209" s="1"/>
      <c r="F209" s="1"/>
      <c r="G209" s="1"/>
      <c r="H209" s="1"/>
    </row>
    <row r="210" spans="2:8" x14ac:dyDescent="0.3">
      <c r="B210" s="1"/>
      <c r="C210" s="1"/>
      <c r="D210" s="1"/>
      <c r="E210" s="1"/>
      <c r="F210" s="1"/>
      <c r="G210" s="1"/>
      <c r="H210" s="1"/>
    </row>
    <row r="211" spans="2:8" x14ac:dyDescent="0.3">
      <c r="B211" s="1"/>
      <c r="C211" s="1"/>
      <c r="D211" s="1"/>
      <c r="E211" s="1"/>
      <c r="F211" s="1"/>
      <c r="G211" s="1"/>
      <c r="H211" s="1"/>
    </row>
    <row r="212" spans="2:8" x14ac:dyDescent="0.3">
      <c r="B212" s="1"/>
      <c r="C212" s="1"/>
      <c r="D212" s="1"/>
      <c r="E212" s="1"/>
      <c r="F212" s="1"/>
      <c r="G212" s="1"/>
      <c r="H212" s="1"/>
    </row>
    <row r="213" spans="2:8" x14ac:dyDescent="0.3">
      <c r="B213" s="1"/>
      <c r="C213" s="1"/>
      <c r="D213" s="1"/>
      <c r="E213" s="1"/>
      <c r="F213" s="1"/>
      <c r="G213" s="1"/>
      <c r="H213" s="1"/>
    </row>
    <row r="214" spans="2:8" x14ac:dyDescent="0.3">
      <c r="B214" s="1"/>
      <c r="C214" s="1"/>
      <c r="D214" s="1"/>
      <c r="E214" s="1"/>
      <c r="F214" s="1"/>
      <c r="G214" s="1"/>
      <c r="H214" s="1"/>
    </row>
    <row r="215" spans="2:8" x14ac:dyDescent="0.3">
      <c r="B215" s="1"/>
      <c r="C215" s="1"/>
      <c r="D215" s="1"/>
      <c r="E215" s="1"/>
      <c r="F215" s="1"/>
      <c r="G215" s="1"/>
      <c r="H215" s="1"/>
    </row>
    <row r="216" spans="2:8" x14ac:dyDescent="0.3">
      <c r="B216" s="1"/>
      <c r="C216" s="1"/>
      <c r="D216" s="1"/>
      <c r="E216" s="1"/>
      <c r="F216" s="1"/>
      <c r="G216" s="1"/>
      <c r="H216" s="1"/>
    </row>
    <row r="217" spans="2:8" x14ac:dyDescent="0.3">
      <c r="B217" s="1"/>
      <c r="C217" s="1"/>
      <c r="D217" s="1"/>
      <c r="E217" s="1"/>
      <c r="F217" s="1"/>
      <c r="G217" s="1"/>
      <c r="H217" s="1"/>
    </row>
    <row r="218" spans="2:8" x14ac:dyDescent="0.3">
      <c r="B218" s="1"/>
      <c r="C218" s="1"/>
      <c r="D218" s="1"/>
      <c r="E218" s="1"/>
      <c r="F218" s="1"/>
      <c r="G218" s="1"/>
      <c r="H218" s="1"/>
    </row>
    <row r="219" spans="2:8" x14ac:dyDescent="0.3">
      <c r="B219" s="1"/>
      <c r="C219" s="1"/>
      <c r="D219" s="1"/>
      <c r="E219" s="1"/>
      <c r="F219" s="1"/>
      <c r="G219" s="1"/>
      <c r="H219" s="1"/>
    </row>
    <row r="220" spans="2:8" x14ac:dyDescent="0.3">
      <c r="B220" s="1"/>
      <c r="C220" s="1"/>
      <c r="D220" s="1"/>
      <c r="E220" s="1"/>
      <c r="F220" s="1"/>
      <c r="G220" s="1"/>
      <c r="H220" s="1"/>
    </row>
    <row r="221" spans="2:8" x14ac:dyDescent="0.3">
      <c r="B221" s="1"/>
      <c r="C221" s="1"/>
      <c r="D221" s="1"/>
      <c r="E221" s="1"/>
      <c r="F221" s="1"/>
      <c r="G221" s="1"/>
      <c r="H221" s="1"/>
    </row>
    <row r="222" spans="2:8" x14ac:dyDescent="0.3">
      <c r="B222" s="1"/>
      <c r="C222" s="1"/>
      <c r="D222" s="1"/>
      <c r="E222" s="1"/>
      <c r="F222" s="1"/>
      <c r="G222" s="1"/>
      <c r="H222" s="1"/>
    </row>
    <row r="223" spans="2:8" x14ac:dyDescent="0.3">
      <c r="B223" s="1"/>
      <c r="C223" s="1"/>
      <c r="D223" s="1"/>
      <c r="E223" s="1"/>
      <c r="F223" s="1"/>
      <c r="G223" s="1"/>
      <c r="H223" s="1"/>
    </row>
    <row r="224" spans="2:8" x14ac:dyDescent="0.3">
      <c r="B224" s="1"/>
      <c r="C224" s="1"/>
      <c r="D224" s="1"/>
      <c r="E224" s="1"/>
      <c r="F224" s="1"/>
      <c r="G224" s="1"/>
      <c r="H224" s="1"/>
    </row>
    <row r="225" spans="2:8" x14ac:dyDescent="0.3">
      <c r="B225" s="1"/>
      <c r="C225" s="1"/>
      <c r="D225" s="1"/>
      <c r="E225" s="1"/>
      <c r="F225" s="1"/>
      <c r="G225" s="1"/>
      <c r="H225" s="1"/>
    </row>
    <row r="226" spans="2:8" x14ac:dyDescent="0.3">
      <c r="B226" s="1"/>
      <c r="C226" s="1"/>
      <c r="D226" s="1"/>
      <c r="E226" s="1"/>
      <c r="F226" s="1"/>
      <c r="G226" s="1"/>
      <c r="H226" s="1"/>
    </row>
    <row r="227" spans="2:8" x14ac:dyDescent="0.3">
      <c r="B227" s="1"/>
      <c r="C227" s="1"/>
      <c r="D227" s="1"/>
      <c r="E227" s="1"/>
      <c r="F227" s="1"/>
      <c r="G227" s="1"/>
      <c r="H227" s="1"/>
    </row>
    <row r="228" spans="2:8" x14ac:dyDescent="0.3">
      <c r="B228" s="1"/>
      <c r="C228" s="1"/>
      <c r="D228" s="1"/>
      <c r="E228" s="1"/>
      <c r="F228" s="1"/>
      <c r="G228" s="1"/>
      <c r="H228" s="1"/>
    </row>
    <row r="229" spans="2:8" x14ac:dyDescent="0.3">
      <c r="B229" s="1"/>
      <c r="C229" s="1"/>
      <c r="D229" s="1"/>
      <c r="E229" s="1"/>
      <c r="F229" s="1"/>
      <c r="G229" s="1"/>
      <c r="H229" s="1"/>
    </row>
    <row r="230" spans="2:8" x14ac:dyDescent="0.3">
      <c r="B230" s="1"/>
      <c r="C230" s="1"/>
      <c r="D230" s="1"/>
      <c r="E230" s="1"/>
      <c r="F230" s="1"/>
      <c r="G230" s="1"/>
      <c r="H230" s="1"/>
    </row>
    <row r="231" spans="2:8" x14ac:dyDescent="0.3">
      <c r="B231" s="1"/>
      <c r="C231" s="1"/>
      <c r="D231" s="1"/>
      <c r="E231" s="1"/>
      <c r="F231" s="1"/>
      <c r="G231" s="1"/>
      <c r="H231" s="1"/>
    </row>
    <row r="232" spans="2:8" x14ac:dyDescent="0.3">
      <c r="B232" s="1"/>
      <c r="C232" s="1"/>
      <c r="D232" s="1"/>
      <c r="E232" s="1"/>
      <c r="F232" s="1"/>
      <c r="G232" s="1"/>
      <c r="H232" s="1"/>
    </row>
    <row r="233" spans="2:8" x14ac:dyDescent="0.3">
      <c r="B233" s="1"/>
      <c r="C233" s="1"/>
      <c r="D233" s="1"/>
      <c r="E233" s="1"/>
      <c r="F233" s="1"/>
      <c r="G233" s="1"/>
      <c r="H233" s="1"/>
    </row>
    <row r="234" spans="2:8" x14ac:dyDescent="0.3">
      <c r="B234" s="1"/>
      <c r="C234" s="1"/>
      <c r="D234" s="1"/>
      <c r="E234" s="1"/>
      <c r="F234" s="1"/>
      <c r="G234" s="1"/>
      <c r="H234" s="1"/>
    </row>
    <row r="235" spans="2:8" x14ac:dyDescent="0.3">
      <c r="B235" s="1"/>
      <c r="C235" s="1"/>
      <c r="D235" s="1"/>
      <c r="E235" s="1"/>
      <c r="F235" s="1"/>
      <c r="G235" s="1"/>
      <c r="H235" s="1"/>
    </row>
    <row r="236" spans="2:8" x14ac:dyDescent="0.3">
      <c r="B236" s="1"/>
      <c r="C236" s="1"/>
      <c r="D236" s="1"/>
      <c r="E236" s="1"/>
      <c r="F236" s="1"/>
      <c r="G236" s="1"/>
      <c r="H236" s="1"/>
    </row>
    <row r="237" spans="2:8" x14ac:dyDescent="0.3">
      <c r="B237" s="1"/>
      <c r="C237" s="1"/>
      <c r="D237" s="1"/>
      <c r="E237" s="1"/>
      <c r="F237" s="1"/>
      <c r="G237" s="1"/>
      <c r="H237" s="1"/>
    </row>
    <row r="238" spans="2:8" x14ac:dyDescent="0.3">
      <c r="B238" s="1"/>
      <c r="C238" s="1"/>
      <c r="D238" s="1"/>
      <c r="E238" s="1"/>
      <c r="F238" s="1"/>
      <c r="G238" s="1"/>
      <c r="H238" s="1"/>
    </row>
    <row r="239" spans="2:8" x14ac:dyDescent="0.3">
      <c r="B239" s="1"/>
      <c r="C239" s="1"/>
      <c r="D239" s="1"/>
      <c r="E239" s="1"/>
      <c r="F239" s="1"/>
      <c r="G239" s="1"/>
      <c r="H239" s="1"/>
    </row>
    <row r="240" spans="2:8" x14ac:dyDescent="0.3">
      <c r="B240" s="1"/>
      <c r="C240" s="1"/>
      <c r="D240" s="1"/>
      <c r="E240" s="1"/>
      <c r="F240" s="1"/>
      <c r="G240" s="1"/>
      <c r="H240" s="1"/>
    </row>
    <row r="241" spans="2:8" x14ac:dyDescent="0.3">
      <c r="B241" s="1"/>
      <c r="C241" s="1"/>
      <c r="D241" s="1"/>
      <c r="E241" s="1"/>
      <c r="F241" s="1"/>
      <c r="G241" s="1"/>
      <c r="H241" s="1"/>
    </row>
    <row r="242" spans="2:8" x14ac:dyDescent="0.3">
      <c r="B242" s="1"/>
      <c r="C242" s="1"/>
      <c r="D242" s="1"/>
      <c r="E242" s="1"/>
      <c r="F242" s="1"/>
      <c r="G242" s="1"/>
      <c r="H242" s="1"/>
    </row>
    <row r="243" spans="2:8" x14ac:dyDescent="0.3">
      <c r="B243" s="1"/>
      <c r="C243" s="1"/>
      <c r="D243" s="1"/>
      <c r="E243" s="1"/>
      <c r="F243" s="1"/>
      <c r="G243" s="1"/>
      <c r="H243" s="1"/>
    </row>
    <row r="244" spans="2:8" x14ac:dyDescent="0.3">
      <c r="B244" s="1"/>
      <c r="C244" s="1"/>
      <c r="D244" s="1"/>
      <c r="E244" s="1"/>
      <c r="F244" s="1"/>
      <c r="G244" s="1"/>
      <c r="H244" s="1"/>
    </row>
    <row r="245" spans="2:8" x14ac:dyDescent="0.3">
      <c r="B245" s="1"/>
      <c r="C245" s="1"/>
      <c r="D245" s="1"/>
      <c r="E245" s="1"/>
      <c r="F245" s="1"/>
      <c r="G245" s="1"/>
      <c r="H245" s="1"/>
    </row>
    <row r="246" spans="2:8" x14ac:dyDescent="0.3">
      <c r="B246" s="1"/>
      <c r="C246" s="1"/>
      <c r="D246" s="1"/>
      <c r="E246" s="1"/>
      <c r="F246" s="1"/>
      <c r="G246" s="1"/>
      <c r="H246" s="1"/>
    </row>
    <row r="247" spans="2:8" x14ac:dyDescent="0.3">
      <c r="B247" s="1"/>
      <c r="C247" s="1"/>
      <c r="D247" s="1"/>
      <c r="E247" s="1"/>
      <c r="F247" s="1"/>
      <c r="G247" s="1"/>
      <c r="H247" s="1"/>
    </row>
    <row r="248" spans="2:8" x14ac:dyDescent="0.3">
      <c r="B248" s="1"/>
      <c r="C248" s="1"/>
      <c r="D248" s="1"/>
      <c r="E248" s="1"/>
      <c r="F248" s="1"/>
      <c r="G248" s="1"/>
      <c r="H248" s="1"/>
    </row>
    <row r="249" spans="2:8" x14ac:dyDescent="0.3">
      <c r="B249" s="1"/>
      <c r="C249" s="1"/>
      <c r="D249" s="1"/>
      <c r="E249" s="1"/>
      <c r="F249" s="1"/>
      <c r="G249" s="1"/>
      <c r="H249" s="1"/>
    </row>
    <row r="250" spans="2:8" x14ac:dyDescent="0.3">
      <c r="B250" s="1"/>
      <c r="C250" s="1"/>
      <c r="D250" s="1"/>
      <c r="E250" s="1"/>
      <c r="F250" s="1"/>
      <c r="G250" s="1"/>
      <c r="H250" s="1"/>
    </row>
    <row r="251" spans="2:8" x14ac:dyDescent="0.3">
      <c r="B251" s="1"/>
      <c r="C251" s="1"/>
      <c r="D251" s="1"/>
      <c r="E251" s="1"/>
      <c r="F251" s="1"/>
      <c r="G251" s="1"/>
      <c r="H251" s="1"/>
    </row>
    <row r="252" spans="2:8" x14ac:dyDescent="0.3">
      <c r="B252" s="1"/>
      <c r="C252" s="1"/>
      <c r="D252" s="1"/>
      <c r="E252" s="1"/>
      <c r="F252" s="1"/>
      <c r="G252" s="1"/>
      <c r="H252" s="1"/>
    </row>
    <row r="253" spans="2:8" x14ac:dyDescent="0.3">
      <c r="B253" s="1"/>
      <c r="C253" s="1"/>
      <c r="D253" s="1"/>
      <c r="E253" s="1"/>
      <c r="F253" s="1"/>
      <c r="G253" s="1"/>
      <c r="H253" s="1"/>
    </row>
    <row r="254" spans="2:8" x14ac:dyDescent="0.3">
      <c r="B254" s="1"/>
      <c r="C254" s="1"/>
      <c r="D254" s="1"/>
      <c r="E254" s="1"/>
      <c r="F254" s="1"/>
      <c r="G254" s="1"/>
      <c r="H254" s="1"/>
    </row>
    <row r="255" spans="2:8" x14ac:dyDescent="0.3">
      <c r="B255" s="1"/>
      <c r="C255" s="1"/>
      <c r="D255" s="1"/>
      <c r="E255" s="1"/>
      <c r="F255" s="1"/>
      <c r="G255" s="1"/>
      <c r="H255" s="1"/>
    </row>
    <row r="256" spans="2:8" x14ac:dyDescent="0.3">
      <c r="B256" s="1"/>
      <c r="C256" s="1"/>
      <c r="D256" s="1"/>
      <c r="E256" s="1"/>
      <c r="F256" s="1"/>
      <c r="G256" s="1"/>
      <c r="H256" s="1"/>
    </row>
    <row r="257" spans="2:8" x14ac:dyDescent="0.3">
      <c r="B257" s="1"/>
      <c r="C257" s="1"/>
      <c r="D257" s="1"/>
      <c r="E257" s="1"/>
      <c r="F257" s="1"/>
      <c r="G257" s="1"/>
      <c r="H257" s="1"/>
    </row>
    <row r="258" spans="2:8" x14ac:dyDescent="0.3">
      <c r="B258" s="1"/>
      <c r="C258" s="1"/>
      <c r="D258" s="1"/>
      <c r="E258" s="1"/>
      <c r="F258" s="1"/>
      <c r="G258" s="1"/>
      <c r="H258" s="1"/>
    </row>
    <row r="259" spans="2:8" x14ac:dyDescent="0.3">
      <c r="B259" s="1"/>
      <c r="C259" s="1"/>
      <c r="D259" s="1"/>
      <c r="E259" s="1"/>
      <c r="F259" s="1"/>
      <c r="G259" s="1"/>
      <c r="H259" s="1"/>
    </row>
    <row r="260" spans="2:8" x14ac:dyDescent="0.3">
      <c r="B260" s="1"/>
      <c r="C260" s="1"/>
      <c r="D260" s="1"/>
      <c r="E260" s="1"/>
      <c r="F260" s="1"/>
      <c r="G260" s="1"/>
      <c r="H260" s="1"/>
    </row>
    <row r="261" spans="2:8" x14ac:dyDescent="0.3">
      <c r="B261" s="1"/>
      <c r="C261" s="1"/>
      <c r="D261" s="1"/>
      <c r="E261" s="1"/>
      <c r="F261" s="1"/>
      <c r="G261" s="1"/>
      <c r="H261" s="1"/>
    </row>
    <row r="262" spans="2:8" x14ac:dyDescent="0.3">
      <c r="B262" s="1"/>
      <c r="C262" s="1"/>
      <c r="D262" s="1"/>
      <c r="E262" s="1"/>
      <c r="F262" s="1"/>
      <c r="G262" s="1"/>
      <c r="H262" s="1"/>
    </row>
    <row r="263" spans="2:8" x14ac:dyDescent="0.3">
      <c r="B263" s="1"/>
      <c r="C263" s="1"/>
      <c r="D263" s="1"/>
      <c r="E263" s="1"/>
      <c r="F263" s="1"/>
      <c r="G263" s="1"/>
      <c r="H263" s="1"/>
    </row>
    <row r="264" spans="2:8" x14ac:dyDescent="0.3">
      <c r="B264" s="1"/>
      <c r="C264" s="1"/>
      <c r="D264" s="1"/>
      <c r="E264" s="1"/>
      <c r="F264" s="1"/>
      <c r="G264" s="1"/>
      <c r="H264" s="1"/>
    </row>
    <row r="265" spans="2:8" x14ac:dyDescent="0.3">
      <c r="B265" s="1"/>
      <c r="C265" s="1"/>
      <c r="D265" s="1"/>
      <c r="E265" s="1"/>
      <c r="F265" s="1"/>
      <c r="G265" s="1"/>
      <c r="H265" s="1"/>
    </row>
    <row r="266" spans="2:8" x14ac:dyDescent="0.3">
      <c r="B266" s="1"/>
      <c r="C266" s="1"/>
      <c r="D266" s="1"/>
      <c r="E266" s="1"/>
      <c r="F266" s="1"/>
      <c r="G266" s="1"/>
      <c r="H266" s="1"/>
    </row>
    <row r="267" spans="2:8" x14ac:dyDescent="0.3">
      <c r="B267" s="1"/>
      <c r="C267" s="1"/>
      <c r="D267" s="1"/>
      <c r="E267" s="1"/>
      <c r="F267" s="1"/>
      <c r="G267" s="1"/>
      <c r="H267" s="1"/>
    </row>
    <row r="268" spans="2:8" x14ac:dyDescent="0.3">
      <c r="B268" s="1"/>
      <c r="C268" s="1"/>
      <c r="D268" s="1"/>
      <c r="E268" s="1"/>
      <c r="F268" s="1"/>
      <c r="G268" s="1"/>
      <c r="H268" s="1"/>
    </row>
    <row r="269" spans="2:8" x14ac:dyDescent="0.3">
      <c r="B269" s="1"/>
      <c r="C269" s="1"/>
      <c r="D269" s="1"/>
      <c r="E269" s="1"/>
      <c r="F269" s="1"/>
      <c r="G269" s="1"/>
      <c r="H269" s="1"/>
    </row>
    <row r="270" spans="2:8" x14ac:dyDescent="0.3">
      <c r="B270" s="1"/>
      <c r="C270" s="1"/>
      <c r="D270" s="1"/>
      <c r="E270" s="1"/>
      <c r="F270" s="1"/>
      <c r="G270" s="1"/>
      <c r="H270" s="1"/>
    </row>
    <row r="271" spans="2:8" x14ac:dyDescent="0.3">
      <c r="B271" s="1"/>
      <c r="C271" s="1"/>
      <c r="D271" s="1"/>
      <c r="E271" s="1"/>
      <c r="F271" s="1"/>
      <c r="G271" s="1"/>
      <c r="H271" s="1"/>
    </row>
    <row r="272" spans="2:8" x14ac:dyDescent="0.3">
      <c r="B272" s="1"/>
      <c r="C272" s="1"/>
      <c r="D272" s="1"/>
      <c r="E272" s="1"/>
      <c r="F272" s="1"/>
      <c r="G272" s="1"/>
      <c r="H272" s="1"/>
    </row>
    <row r="273" spans="2:8" x14ac:dyDescent="0.3">
      <c r="B273" s="1"/>
      <c r="C273" s="1"/>
      <c r="D273" s="1"/>
      <c r="E273" s="1"/>
      <c r="F273" s="1"/>
      <c r="G273" s="1"/>
      <c r="H273" s="1"/>
    </row>
    <row r="274" spans="2:8" x14ac:dyDescent="0.3">
      <c r="B274" s="1"/>
      <c r="C274" s="1"/>
      <c r="D274" s="1"/>
      <c r="E274" s="1"/>
      <c r="F274" s="1"/>
      <c r="G274" s="1"/>
      <c r="H274" s="1"/>
    </row>
    <row r="275" spans="2:8" x14ac:dyDescent="0.3">
      <c r="B275" s="1"/>
      <c r="C275" s="1"/>
      <c r="D275" s="1"/>
      <c r="E275" s="1"/>
      <c r="F275" s="1"/>
      <c r="G275" s="1"/>
      <c r="H275" s="1"/>
    </row>
    <row r="276" spans="2:8" x14ac:dyDescent="0.3">
      <c r="B276" s="1"/>
      <c r="C276" s="1"/>
      <c r="D276" s="1"/>
      <c r="E276" s="1"/>
      <c r="F276" s="1"/>
      <c r="G276" s="1"/>
      <c r="H276" s="1"/>
    </row>
    <row r="277" spans="2:8" x14ac:dyDescent="0.3">
      <c r="B277" s="1"/>
      <c r="C277" s="1"/>
      <c r="D277" s="1"/>
      <c r="E277" s="1"/>
      <c r="F277" s="1"/>
      <c r="G277" s="1"/>
      <c r="H277" s="1"/>
    </row>
    <row r="278" spans="2:8" x14ac:dyDescent="0.3">
      <c r="B278" s="1"/>
      <c r="C278" s="1"/>
      <c r="D278" s="1"/>
      <c r="E278" s="1"/>
      <c r="F278" s="1"/>
      <c r="G278" s="1"/>
      <c r="H278" s="1"/>
    </row>
    <row r="279" spans="2:8" x14ac:dyDescent="0.3">
      <c r="B279" s="1"/>
      <c r="C279" s="1"/>
      <c r="D279" s="1"/>
      <c r="E279" s="1"/>
      <c r="F279" s="1"/>
      <c r="G279" s="1"/>
      <c r="H279" s="1"/>
    </row>
    <row r="280" spans="2:8" x14ac:dyDescent="0.3">
      <c r="B280" s="1"/>
      <c r="C280" s="1"/>
      <c r="D280" s="1"/>
      <c r="E280" s="1"/>
      <c r="F280" s="1"/>
      <c r="G280" s="1"/>
      <c r="H280" s="1"/>
    </row>
    <row r="281" spans="2:8" x14ac:dyDescent="0.3">
      <c r="B281" s="1"/>
      <c r="C281" s="1"/>
      <c r="D281" s="1"/>
      <c r="E281" s="1"/>
      <c r="F281" s="1"/>
      <c r="G281" s="1"/>
      <c r="H281" s="1"/>
    </row>
    <row r="282" spans="2:8" x14ac:dyDescent="0.3">
      <c r="B282" s="1"/>
      <c r="C282" s="1"/>
      <c r="D282" s="1"/>
      <c r="E282" s="1"/>
      <c r="F282" s="1"/>
      <c r="G282" s="1"/>
      <c r="H282" s="1"/>
    </row>
    <row r="283" spans="2:8" x14ac:dyDescent="0.3">
      <c r="B283" s="1"/>
      <c r="C283" s="1"/>
      <c r="D283" s="1"/>
      <c r="E283" s="1"/>
      <c r="F283" s="1"/>
      <c r="G283" s="1"/>
      <c r="H283" s="1"/>
    </row>
    <row r="284" spans="2:8" x14ac:dyDescent="0.3">
      <c r="B284" s="1"/>
      <c r="C284" s="1"/>
      <c r="D284" s="1"/>
      <c r="E284" s="1"/>
      <c r="F284" s="1"/>
      <c r="G284" s="1"/>
      <c r="H284" s="1"/>
    </row>
    <row r="285" spans="2:8" x14ac:dyDescent="0.3">
      <c r="B285" s="1"/>
      <c r="C285" s="1"/>
      <c r="D285" s="1"/>
      <c r="E285" s="1"/>
      <c r="F285" s="1"/>
      <c r="G285" s="1"/>
      <c r="H285" s="1"/>
    </row>
    <row r="286" spans="2:8" x14ac:dyDescent="0.3">
      <c r="B286" s="1"/>
      <c r="C286" s="1"/>
      <c r="D286" s="1"/>
      <c r="E286" s="1"/>
      <c r="F286" s="1"/>
      <c r="G286" s="1"/>
      <c r="H286" s="1"/>
    </row>
    <row r="287" spans="2:8" x14ac:dyDescent="0.3">
      <c r="B287" s="1"/>
      <c r="C287" s="1"/>
      <c r="D287" s="1"/>
      <c r="E287" s="1"/>
      <c r="F287" s="1"/>
      <c r="G287" s="1"/>
      <c r="H287" s="1"/>
    </row>
    <row r="288" spans="2:8" x14ac:dyDescent="0.3">
      <c r="B288" s="1"/>
      <c r="C288" s="1"/>
      <c r="D288" s="1"/>
      <c r="E288" s="1"/>
      <c r="F288" s="1"/>
      <c r="G288" s="1"/>
      <c r="H288" s="1"/>
    </row>
    <row r="289" spans="2:8" x14ac:dyDescent="0.3">
      <c r="B289" s="1"/>
      <c r="C289" s="1"/>
      <c r="D289" s="1"/>
      <c r="E289" s="1"/>
      <c r="F289" s="1"/>
      <c r="G289" s="1"/>
      <c r="H289" s="1"/>
    </row>
    <row r="290" spans="2:8" x14ac:dyDescent="0.3">
      <c r="B290" s="1"/>
      <c r="C290" s="1"/>
      <c r="D290" s="1"/>
      <c r="E290" s="1"/>
      <c r="F290" s="1"/>
      <c r="G290" s="1"/>
      <c r="H290" s="1"/>
    </row>
    <row r="291" spans="2:8" x14ac:dyDescent="0.3">
      <c r="B291" s="1"/>
      <c r="C291" s="1"/>
      <c r="D291" s="1"/>
      <c r="E291" s="1"/>
      <c r="F291" s="1"/>
      <c r="G291" s="1"/>
      <c r="H291" s="1"/>
    </row>
    <row r="292" spans="2:8" x14ac:dyDescent="0.3">
      <c r="B292" s="1"/>
      <c r="C292" s="1"/>
      <c r="D292" s="1"/>
      <c r="E292" s="1"/>
      <c r="F292" s="1"/>
      <c r="G292" s="1"/>
      <c r="H292" s="1"/>
    </row>
    <row r="293" spans="2:8" x14ac:dyDescent="0.3">
      <c r="B293" s="1"/>
      <c r="C293" s="1"/>
      <c r="D293" s="1"/>
      <c r="E293" s="1"/>
      <c r="F293" s="1"/>
      <c r="G293" s="1"/>
      <c r="H293" s="1"/>
    </row>
    <row r="294" spans="2:8" x14ac:dyDescent="0.3">
      <c r="B294" s="1"/>
      <c r="C294" s="1"/>
      <c r="D294" s="1"/>
      <c r="E294" s="1"/>
      <c r="F294" s="1"/>
      <c r="G294" s="1"/>
      <c r="H294" s="1"/>
    </row>
    <row r="295" spans="2:8" x14ac:dyDescent="0.3">
      <c r="B295" s="1"/>
      <c r="C295" s="1"/>
      <c r="D295" s="1"/>
      <c r="E295" s="1"/>
      <c r="F295" s="1"/>
      <c r="G295" s="1"/>
      <c r="H295" s="1"/>
    </row>
    <row r="296" spans="2:8" x14ac:dyDescent="0.3">
      <c r="B296" s="1"/>
      <c r="C296" s="1"/>
      <c r="D296" s="1"/>
      <c r="E296" s="1"/>
      <c r="F296" s="1"/>
      <c r="G296" s="1"/>
      <c r="H296" s="1"/>
    </row>
    <row r="297" spans="2:8" x14ac:dyDescent="0.3">
      <c r="B297" s="1"/>
      <c r="C297" s="1"/>
      <c r="D297" s="1"/>
      <c r="E297" s="1"/>
      <c r="F297" s="1"/>
      <c r="G297" s="1"/>
      <c r="H297" s="1"/>
    </row>
    <row r="298" spans="2:8" x14ac:dyDescent="0.3">
      <c r="B298" s="1"/>
      <c r="C298" s="1"/>
      <c r="D298" s="1"/>
      <c r="E298" s="1"/>
      <c r="F298" s="1"/>
      <c r="G298" s="1"/>
      <c r="H298" s="1"/>
    </row>
    <row r="299" spans="2:8" x14ac:dyDescent="0.3">
      <c r="B299" s="1"/>
      <c r="C299" s="1"/>
      <c r="D299" s="1"/>
      <c r="E299" s="1"/>
      <c r="F299" s="1"/>
      <c r="G299" s="1"/>
      <c r="H299" s="1"/>
    </row>
    <row r="300" spans="2:8" x14ac:dyDescent="0.3">
      <c r="B300" s="1"/>
      <c r="C300" s="1"/>
      <c r="D300" s="1"/>
      <c r="E300" s="1"/>
      <c r="F300" s="1"/>
      <c r="G300" s="1"/>
      <c r="H300" s="1"/>
    </row>
    <row r="301" spans="2:8" x14ac:dyDescent="0.3">
      <c r="B301" s="1"/>
      <c r="C301" s="1"/>
      <c r="D301" s="1"/>
      <c r="E301" s="1"/>
      <c r="F301" s="1"/>
      <c r="G301" s="1"/>
      <c r="H301" s="1"/>
    </row>
    <row r="302" spans="2:8" x14ac:dyDescent="0.3">
      <c r="B302" s="1"/>
      <c r="C302" s="1"/>
      <c r="D302" s="1"/>
      <c r="E302" s="1"/>
      <c r="F302" s="1"/>
      <c r="G302" s="1"/>
      <c r="H302" s="1"/>
    </row>
    <row r="303" spans="2:8" x14ac:dyDescent="0.3">
      <c r="B303" s="1"/>
      <c r="C303" s="1"/>
      <c r="D303" s="1"/>
      <c r="E303" s="1"/>
      <c r="F303" s="1"/>
      <c r="G303" s="1"/>
      <c r="H303" s="1"/>
    </row>
    <row r="304" spans="2:8" x14ac:dyDescent="0.3">
      <c r="B304" s="1"/>
      <c r="C304" s="1"/>
      <c r="D304" s="1"/>
      <c r="E304" s="1"/>
      <c r="F304" s="1"/>
      <c r="G304" s="1"/>
      <c r="H304" s="1"/>
    </row>
    <row r="305" spans="2:8" x14ac:dyDescent="0.3">
      <c r="B305" s="1"/>
      <c r="C305" s="1"/>
      <c r="D305" s="1"/>
      <c r="E305" s="1"/>
      <c r="F305" s="1"/>
      <c r="G305" s="1"/>
      <c r="H305" s="1"/>
    </row>
    <row r="306" spans="2:8" x14ac:dyDescent="0.3">
      <c r="B306" s="1"/>
      <c r="C306" s="1"/>
      <c r="D306" s="1"/>
      <c r="E306" s="1"/>
      <c r="F306" s="1"/>
      <c r="G306" s="1"/>
      <c r="H306" s="1"/>
    </row>
    <row r="307" spans="2:8" x14ac:dyDescent="0.3">
      <c r="B307" s="1"/>
      <c r="C307" s="1"/>
      <c r="D307" s="1"/>
      <c r="E307" s="1"/>
      <c r="F307" s="1"/>
      <c r="G307" s="1"/>
      <c r="H307" s="1"/>
    </row>
    <row r="308" spans="2:8" x14ac:dyDescent="0.3">
      <c r="B308" s="1"/>
      <c r="C308" s="1"/>
      <c r="D308" s="1"/>
      <c r="E308" s="1"/>
      <c r="F308" s="1"/>
      <c r="G308" s="1"/>
      <c r="H308" s="1"/>
    </row>
    <row r="309" spans="2:8" x14ac:dyDescent="0.3">
      <c r="B309" s="1"/>
      <c r="C309" s="1"/>
      <c r="D309" s="1"/>
      <c r="E309" s="1"/>
      <c r="F309" s="1"/>
      <c r="G309" s="1"/>
      <c r="H309" s="1"/>
    </row>
    <row r="310" spans="2:8" x14ac:dyDescent="0.3">
      <c r="B310" s="1"/>
      <c r="C310" s="1"/>
      <c r="D310" s="1"/>
      <c r="E310" s="1"/>
      <c r="F310" s="1"/>
      <c r="G310" s="1"/>
      <c r="H310" s="1"/>
    </row>
    <row r="311" spans="2:8" x14ac:dyDescent="0.3">
      <c r="B311" s="1"/>
      <c r="C311" s="1"/>
      <c r="D311" s="1"/>
      <c r="E311" s="1"/>
      <c r="F311" s="1"/>
      <c r="G311" s="1"/>
      <c r="H311" s="1"/>
    </row>
    <row r="312" spans="2:8" x14ac:dyDescent="0.3">
      <c r="B312" s="1"/>
      <c r="C312" s="1"/>
      <c r="D312" s="1"/>
      <c r="E312" s="1"/>
      <c r="F312" s="1"/>
      <c r="G312" s="1"/>
      <c r="H312" s="1"/>
    </row>
    <row r="313" spans="2:8" x14ac:dyDescent="0.3">
      <c r="B313" s="1"/>
      <c r="C313" s="1"/>
      <c r="D313" s="1"/>
      <c r="E313" s="1"/>
      <c r="F313" s="1"/>
      <c r="G313" s="1"/>
      <c r="H313" s="1"/>
    </row>
    <row r="314" spans="2:8" x14ac:dyDescent="0.3">
      <c r="B314" s="1"/>
      <c r="C314" s="1"/>
      <c r="D314" s="1"/>
      <c r="E314" s="1"/>
      <c r="F314" s="1"/>
      <c r="G314" s="1"/>
      <c r="H314" s="1"/>
    </row>
    <row r="315" spans="2:8" x14ac:dyDescent="0.3">
      <c r="B315" s="1"/>
      <c r="C315" s="1"/>
      <c r="D315" s="1"/>
      <c r="E315" s="1"/>
      <c r="F315" s="1"/>
      <c r="G315" s="1"/>
      <c r="H315" s="1"/>
    </row>
    <row r="316" spans="2:8" x14ac:dyDescent="0.3">
      <c r="B316" s="1"/>
      <c r="C316" s="1"/>
      <c r="D316" s="1"/>
      <c r="E316" s="1"/>
      <c r="F316" s="1"/>
      <c r="G316" s="1"/>
      <c r="H316" s="1"/>
    </row>
    <row r="317" spans="2:8" x14ac:dyDescent="0.3">
      <c r="B317" s="1"/>
      <c r="C317" s="1"/>
      <c r="D317" s="1"/>
      <c r="E317" s="1"/>
      <c r="F317" s="1"/>
      <c r="G317" s="1"/>
      <c r="H317" s="1"/>
    </row>
    <row r="318" spans="2:8" x14ac:dyDescent="0.3">
      <c r="B318" s="1"/>
      <c r="C318" s="1"/>
      <c r="D318" s="1"/>
      <c r="E318" s="1"/>
      <c r="F318" s="1"/>
      <c r="G318" s="1"/>
      <c r="H318" s="1"/>
    </row>
    <row r="319" spans="2:8" x14ac:dyDescent="0.3">
      <c r="B319" s="1"/>
      <c r="C319" s="1"/>
      <c r="D319" s="1"/>
      <c r="E319" s="1"/>
      <c r="F319" s="1"/>
      <c r="G319" s="1"/>
      <c r="H319" s="1"/>
    </row>
    <row r="320" spans="2:8" x14ac:dyDescent="0.3">
      <c r="B320" s="1"/>
      <c r="C320" s="1"/>
      <c r="D320" s="1"/>
      <c r="E320" s="1"/>
      <c r="F320" s="1"/>
      <c r="G320" s="1"/>
      <c r="H320" s="1"/>
    </row>
    <row r="321" spans="2:8" x14ac:dyDescent="0.3">
      <c r="B321" s="1"/>
      <c r="C321" s="1"/>
      <c r="D321" s="1"/>
      <c r="E321" s="1"/>
      <c r="F321" s="1"/>
      <c r="G321" s="1"/>
      <c r="H321" s="1"/>
    </row>
    <row r="322" spans="2:8" x14ac:dyDescent="0.3">
      <c r="B322" s="1"/>
      <c r="C322" s="1"/>
      <c r="D322" s="1"/>
      <c r="E322" s="1"/>
      <c r="F322" s="1"/>
      <c r="G322" s="1"/>
      <c r="H322" s="1"/>
    </row>
    <row r="323" spans="2:8" x14ac:dyDescent="0.3">
      <c r="B323" s="1"/>
      <c r="C323" s="1"/>
      <c r="D323" s="1"/>
      <c r="E323" s="1"/>
      <c r="F323" s="1"/>
      <c r="G323" s="1"/>
      <c r="H323" s="1"/>
    </row>
    <row r="324" spans="2:8" x14ac:dyDescent="0.3">
      <c r="B324" s="1"/>
      <c r="C324" s="1"/>
      <c r="D324" s="1"/>
      <c r="E324" s="1"/>
      <c r="F324" s="1"/>
      <c r="G324" s="1"/>
      <c r="H324" s="1"/>
    </row>
    <row r="325" spans="2:8" x14ac:dyDescent="0.3">
      <c r="B325" s="1"/>
      <c r="C325" s="1"/>
      <c r="D325" s="1"/>
      <c r="E325" s="1"/>
      <c r="F325" s="1"/>
      <c r="G325" s="1"/>
      <c r="H325" s="1"/>
    </row>
    <row r="326" spans="2:8" x14ac:dyDescent="0.3">
      <c r="B326" s="1"/>
      <c r="C326" s="1"/>
      <c r="D326" s="1"/>
      <c r="E326" s="1"/>
      <c r="F326" s="1"/>
      <c r="G326" s="1"/>
      <c r="H326" s="1"/>
    </row>
    <row r="327" spans="2:8" x14ac:dyDescent="0.3">
      <c r="B327" s="1"/>
      <c r="C327" s="1"/>
      <c r="D327" s="1"/>
      <c r="E327" s="1"/>
      <c r="F327" s="1"/>
      <c r="G327" s="1"/>
      <c r="H327" s="1"/>
    </row>
    <row r="328" spans="2:8" x14ac:dyDescent="0.3">
      <c r="B328" s="1"/>
      <c r="C328" s="1"/>
      <c r="D328" s="1"/>
      <c r="E328" s="1"/>
      <c r="F328" s="1"/>
      <c r="G328" s="1"/>
      <c r="H328" s="1"/>
    </row>
    <row r="329" spans="2:8" x14ac:dyDescent="0.3">
      <c r="B329" s="1"/>
      <c r="C329" s="1"/>
      <c r="D329" s="1"/>
      <c r="E329" s="1"/>
      <c r="F329" s="1"/>
      <c r="G329" s="1"/>
      <c r="H329" s="1"/>
    </row>
    <row r="330" spans="2:8" x14ac:dyDescent="0.3">
      <c r="B330" s="1"/>
      <c r="C330" s="1"/>
      <c r="D330" s="1"/>
      <c r="E330" s="1"/>
      <c r="F330" s="1"/>
      <c r="G330" s="1"/>
      <c r="H330" s="1"/>
    </row>
    <row r="331" spans="2:8" x14ac:dyDescent="0.3">
      <c r="B331" s="1"/>
      <c r="C331" s="1"/>
      <c r="D331" s="1"/>
      <c r="E331" s="1"/>
      <c r="F331" s="1"/>
      <c r="G331" s="1"/>
      <c r="H331" s="1"/>
    </row>
    <row r="332" spans="2:8" x14ac:dyDescent="0.3">
      <c r="B332" s="1"/>
      <c r="C332" s="1"/>
      <c r="D332" s="1"/>
      <c r="E332" s="1"/>
      <c r="F332" s="1"/>
      <c r="G332" s="1"/>
      <c r="H332" s="1"/>
    </row>
    <row r="333" spans="2:8" x14ac:dyDescent="0.3">
      <c r="B333" s="1"/>
      <c r="C333" s="1"/>
      <c r="D333" s="1"/>
      <c r="E333" s="1"/>
      <c r="F333" s="1"/>
      <c r="G333" s="1"/>
      <c r="H333" s="1"/>
    </row>
    <row r="334" spans="2:8" x14ac:dyDescent="0.3">
      <c r="B334" s="1"/>
      <c r="C334" s="1"/>
      <c r="D334" s="1"/>
      <c r="E334" s="1"/>
      <c r="F334" s="1"/>
      <c r="G334" s="1"/>
      <c r="H334" s="1"/>
    </row>
    <row r="335" spans="2:8" x14ac:dyDescent="0.3">
      <c r="B335" s="1"/>
      <c r="C335" s="1"/>
      <c r="D335" s="1"/>
      <c r="E335" s="1"/>
      <c r="F335" s="1"/>
      <c r="G335" s="1"/>
      <c r="H335" s="1"/>
    </row>
    <row r="336" spans="2:8" x14ac:dyDescent="0.3">
      <c r="B336" s="1"/>
      <c r="C336" s="1"/>
      <c r="D336" s="1"/>
      <c r="E336" s="1"/>
      <c r="F336" s="1"/>
      <c r="G336" s="1"/>
      <c r="H336" s="1"/>
    </row>
    <row r="337" spans="2:8" x14ac:dyDescent="0.3">
      <c r="B337" s="1"/>
      <c r="C337" s="1"/>
      <c r="D337" s="1"/>
      <c r="E337" s="1"/>
      <c r="F337" s="1"/>
      <c r="G337" s="1"/>
      <c r="H337" s="1"/>
    </row>
    <row r="338" spans="2:8" x14ac:dyDescent="0.3">
      <c r="B338" s="1"/>
      <c r="C338" s="1"/>
      <c r="D338" s="1"/>
      <c r="E338" s="1"/>
      <c r="F338" s="1"/>
      <c r="G338" s="1"/>
      <c r="H338" s="1"/>
    </row>
    <row r="339" spans="2:8" x14ac:dyDescent="0.3">
      <c r="B339" s="1"/>
      <c r="C339" s="1"/>
      <c r="D339" s="1"/>
      <c r="E339" s="1"/>
      <c r="F339" s="1"/>
      <c r="G339" s="1"/>
      <c r="H339" s="1"/>
    </row>
    <row r="340" spans="2:8" x14ac:dyDescent="0.3">
      <c r="B340" s="1"/>
      <c r="C340" s="1"/>
      <c r="D340" s="1"/>
      <c r="E340" s="1"/>
      <c r="F340" s="1"/>
      <c r="G340" s="1"/>
      <c r="H340" s="1"/>
    </row>
    <row r="341" spans="2:8" x14ac:dyDescent="0.3">
      <c r="B341" s="1"/>
      <c r="C341" s="1"/>
      <c r="D341" s="1"/>
      <c r="E341" s="1"/>
      <c r="F341" s="1"/>
      <c r="G341" s="1"/>
      <c r="H341" s="1"/>
    </row>
    <row r="342" spans="2:8" x14ac:dyDescent="0.3">
      <c r="B342" s="1"/>
      <c r="C342" s="1"/>
      <c r="D342" s="1"/>
      <c r="E342" s="1"/>
      <c r="F342" s="1"/>
      <c r="G342" s="1"/>
      <c r="H342" s="1"/>
    </row>
    <row r="343" spans="2:8" x14ac:dyDescent="0.3">
      <c r="B343" s="1"/>
      <c r="C343" s="1"/>
      <c r="D343" s="1"/>
      <c r="E343" s="1"/>
      <c r="F343" s="1"/>
      <c r="G343" s="1"/>
      <c r="H343" s="1"/>
    </row>
    <row r="344" spans="2:8" x14ac:dyDescent="0.3">
      <c r="B344" s="1"/>
      <c r="C344" s="1"/>
      <c r="D344" s="1"/>
      <c r="E344" s="1"/>
      <c r="F344" s="1"/>
      <c r="G344" s="1"/>
      <c r="H344" s="1"/>
    </row>
    <row r="345" spans="2:8" x14ac:dyDescent="0.3">
      <c r="B345" s="1"/>
      <c r="C345" s="1"/>
      <c r="D345" s="1"/>
      <c r="E345" s="1"/>
      <c r="F345" s="1"/>
      <c r="G345" s="1"/>
      <c r="H345" s="1"/>
    </row>
    <row r="346" spans="2:8" x14ac:dyDescent="0.3">
      <c r="B346" s="1"/>
      <c r="C346" s="1"/>
      <c r="D346" s="1"/>
      <c r="E346" s="1"/>
      <c r="F346" s="1"/>
      <c r="G346" s="1"/>
      <c r="H346" s="1"/>
    </row>
    <row r="347" spans="2:8" x14ac:dyDescent="0.3">
      <c r="B347" s="1"/>
      <c r="C347" s="1"/>
      <c r="D347" s="1"/>
      <c r="E347" s="1"/>
      <c r="F347" s="1"/>
      <c r="G347" s="1"/>
      <c r="H347" s="1"/>
    </row>
    <row r="348" spans="2:8" x14ac:dyDescent="0.3">
      <c r="B348" s="1"/>
      <c r="C348" s="1"/>
      <c r="D348" s="1"/>
      <c r="E348" s="1"/>
      <c r="F348" s="1"/>
      <c r="G348" s="1"/>
      <c r="H348" s="1"/>
    </row>
    <row r="349" spans="2:8" x14ac:dyDescent="0.3">
      <c r="B349" s="1"/>
      <c r="C349" s="1"/>
      <c r="D349" s="1"/>
      <c r="E349" s="1"/>
      <c r="F349" s="1"/>
      <c r="G349" s="1"/>
      <c r="H349" s="1"/>
    </row>
    <row r="350" spans="2:8" x14ac:dyDescent="0.3">
      <c r="B350" s="1"/>
      <c r="C350" s="1"/>
      <c r="D350" s="1"/>
      <c r="E350" s="1"/>
      <c r="F350" s="1"/>
      <c r="G350" s="1"/>
      <c r="H350" s="1"/>
    </row>
    <row r="351" spans="2:8" x14ac:dyDescent="0.3">
      <c r="B351" s="1"/>
      <c r="C351" s="1"/>
      <c r="D351" s="1"/>
      <c r="E351" s="1"/>
      <c r="F351" s="1"/>
      <c r="G351" s="1"/>
      <c r="H351" s="1"/>
    </row>
    <row r="352" spans="2:8" x14ac:dyDescent="0.3">
      <c r="B352" s="1"/>
      <c r="C352" s="1"/>
      <c r="D352" s="1"/>
      <c r="E352" s="1"/>
      <c r="F352" s="1"/>
      <c r="G352" s="1"/>
      <c r="H352" s="1"/>
    </row>
    <row r="353" spans="2:8" x14ac:dyDescent="0.3">
      <c r="B353" s="1"/>
      <c r="C353" s="1"/>
      <c r="D353" s="1"/>
      <c r="E353" s="1"/>
      <c r="F353" s="1"/>
      <c r="G353" s="1"/>
      <c r="H353" s="1"/>
    </row>
    <row r="354" spans="2:8" x14ac:dyDescent="0.3">
      <c r="B354" s="1"/>
      <c r="C354" s="1"/>
      <c r="D354" s="1"/>
      <c r="E354" s="1"/>
      <c r="F354" s="1"/>
      <c r="G354" s="1"/>
      <c r="H354" s="1"/>
    </row>
    <row r="355" spans="2:8" x14ac:dyDescent="0.3">
      <c r="B355" s="1"/>
      <c r="C355" s="1"/>
      <c r="D355" s="1"/>
      <c r="E355" s="1"/>
      <c r="F355" s="1"/>
      <c r="G355" s="1"/>
      <c r="H355" s="1"/>
    </row>
    <row r="356" spans="2:8" x14ac:dyDescent="0.3">
      <c r="B356" s="1"/>
      <c r="C356" s="1"/>
      <c r="D356" s="1"/>
      <c r="E356" s="1"/>
      <c r="F356" s="1"/>
      <c r="G356" s="1"/>
      <c r="H356" s="1"/>
    </row>
    <row r="357" spans="2:8" x14ac:dyDescent="0.3">
      <c r="B357" s="1"/>
      <c r="C357" s="1"/>
      <c r="D357" s="1"/>
      <c r="E357" s="1"/>
      <c r="F357" s="1"/>
      <c r="G357" s="1"/>
      <c r="H357" s="1"/>
    </row>
    <row r="358" spans="2:8" x14ac:dyDescent="0.3">
      <c r="B358" s="1"/>
      <c r="C358" s="1"/>
      <c r="D358" s="1"/>
      <c r="E358" s="1"/>
      <c r="F358" s="1"/>
      <c r="G358" s="1"/>
      <c r="H358" s="1"/>
    </row>
    <row r="359" spans="2:8" x14ac:dyDescent="0.3">
      <c r="B359" s="1"/>
      <c r="C359" s="1"/>
      <c r="D359" s="1"/>
      <c r="E359" s="1"/>
      <c r="F359" s="1"/>
      <c r="G359" s="1"/>
      <c r="H359" s="1"/>
    </row>
    <row r="360" spans="2:8" x14ac:dyDescent="0.3">
      <c r="B360" s="1"/>
      <c r="C360" s="1"/>
      <c r="D360" s="1"/>
      <c r="E360" s="1"/>
      <c r="F360" s="1"/>
      <c r="G360" s="1"/>
      <c r="H360" s="1"/>
    </row>
    <row r="361" spans="2:8" x14ac:dyDescent="0.3">
      <c r="B361" s="1"/>
      <c r="C361" s="1"/>
      <c r="D361" s="1"/>
      <c r="E361" s="1"/>
      <c r="F361" s="1"/>
      <c r="G361" s="1"/>
      <c r="H361" s="1"/>
    </row>
    <row r="362" spans="2:8" x14ac:dyDescent="0.3">
      <c r="B362" s="1"/>
      <c r="C362" s="1"/>
      <c r="D362" s="1"/>
      <c r="E362" s="1"/>
      <c r="F362" s="1"/>
      <c r="G362" s="1"/>
      <c r="H362" s="1"/>
    </row>
    <row r="363" spans="2:8" x14ac:dyDescent="0.3">
      <c r="B363" s="1"/>
      <c r="C363" s="1"/>
      <c r="D363" s="1"/>
      <c r="E363" s="1"/>
      <c r="F363" s="1"/>
      <c r="G363" s="1"/>
      <c r="H363" s="1"/>
    </row>
    <row r="364" spans="2:8" x14ac:dyDescent="0.3">
      <c r="B364" s="1"/>
      <c r="C364" s="1"/>
      <c r="D364" s="1"/>
      <c r="E364" s="1"/>
      <c r="F364" s="1"/>
      <c r="G364" s="1"/>
      <c r="H364" s="1"/>
    </row>
    <row r="365" spans="2:8" x14ac:dyDescent="0.3">
      <c r="B365" s="1"/>
      <c r="C365" s="1"/>
      <c r="D365" s="1"/>
      <c r="E365" s="1"/>
      <c r="F365" s="1"/>
      <c r="G365" s="1"/>
      <c r="H365" s="1"/>
    </row>
    <row r="366" spans="2:8" x14ac:dyDescent="0.3">
      <c r="B366" s="1"/>
      <c r="C366" s="1"/>
      <c r="D366" s="1"/>
      <c r="E366" s="1"/>
      <c r="F366" s="1"/>
      <c r="G366" s="1"/>
      <c r="H366" s="1"/>
    </row>
    <row r="367" spans="2:8" x14ac:dyDescent="0.3">
      <c r="B367" s="1"/>
      <c r="C367" s="1"/>
      <c r="D367" s="1"/>
      <c r="E367" s="1"/>
      <c r="F367" s="1"/>
      <c r="G367" s="1"/>
      <c r="H367" s="1"/>
    </row>
    <row r="368" spans="2:8" x14ac:dyDescent="0.3">
      <c r="B368" s="1"/>
      <c r="C368" s="1"/>
      <c r="D368" s="1"/>
      <c r="E368" s="1"/>
      <c r="F368" s="1"/>
      <c r="G368" s="1"/>
      <c r="H368" s="1"/>
    </row>
    <row r="369" spans="2:8" x14ac:dyDescent="0.3">
      <c r="B369" s="1"/>
      <c r="C369" s="1"/>
      <c r="D369" s="1"/>
      <c r="E369" s="1"/>
      <c r="F369" s="1"/>
      <c r="G369" s="1"/>
      <c r="H369" s="1"/>
    </row>
    <row r="370" spans="2:8" x14ac:dyDescent="0.3">
      <c r="B370" s="1"/>
      <c r="C370" s="1"/>
      <c r="D370" s="1"/>
      <c r="E370" s="1"/>
      <c r="F370" s="1"/>
      <c r="G370" s="1"/>
      <c r="H370" s="1"/>
    </row>
    <row r="371" spans="2:8" x14ac:dyDescent="0.3">
      <c r="B371" s="1"/>
      <c r="C371" s="1"/>
      <c r="D371" s="1"/>
      <c r="E371" s="1"/>
      <c r="F371" s="1"/>
      <c r="G371" s="1"/>
      <c r="H371" s="1"/>
    </row>
    <row r="372" spans="2:8" x14ac:dyDescent="0.3">
      <c r="B372" s="1"/>
      <c r="C372" s="1"/>
      <c r="D372" s="1"/>
      <c r="E372" s="1"/>
      <c r="F372" s="1"/>
      <c r="G372" s="1"/>
      <c r="H372" s="1"/>
    </row>
    <row r="373" spans="2:8" x14ac:dyDescent="0.3">
      <c r="B373" s="1"/>
      <c r="C373" s="1"/>
      <c r="D373" s="1"/>
      <c r="E373" s="1"/>
      <c r="F373" s="1"/>
      <c r="G373" s="1"/>
      <c r="H373" s="1"/>
    </row>
    <row r="374" spans="2:8" x14ac:dyDescent="0.3">
      <c r="B374" s="1"/>
      <c r="C374" s="1"/>
      <c r="D374" s="1"/>
      <c r="E374" s="1"/>
      <c r="F374" s="1"/>
      <c r="G374" s="1"/>
      <c r="H374" s="1"/>
    </row>
    <row r="375" spans="2:8" x14ac:dyDescent="0.3">
      <c r="B375" s="1"/>
      <c r="C375" s="1"/>
      <c r="D375" s="1"/>
      <c r="E375" s="1"/>
      <c r="F375" s="1"/>
      <c r="G375" s="1"/>
      <c r="H375" s="1"/>
    </row>
    <row r="376" spans="2:8" x14ac:dyDescent="0.3">
      <c r="B376" s="1"/>
      <c r="C376" s="1"/>
      <c r="D376" s="1"/>
      <c r="E376" s="1"/>
      <c r="F376" s="1"/>
      <c r="G376" s="1"/>
      <c r="H376" s="1"/>
    </row>
    <row r="377" spans="2:8" x14ac:dyDescent="0.3">
      <c r="B377" s="1"/>
      <c r="C377" s="1"/>
      <c r="D377" s="1"/>
      <c r="E377" s="1"/>
      <c r="F377" s="1"/>
      <c r="G377" s="1"/>
      <c r="H377" s="1"/>
    </row>
    <row r="378" spans="2:8" x14ac:dyDescent="0.3">
      <c r="B378" s="1"/>
      <c r="C378" s="1"/>
      <c r="D378" s="1"/>
      <c r="E378" s="1"/>
      <c r="F378" s="1"/>
      <c r="G378" s="1"/>
      <c r="H378" s="1"/>
    </row>
    <row r="379" spans="2:8" x14ac:dyDescent="0.3">
      <c r="B379" s="1"/>
      <c r="C379" s="1"/>
      <c r="D379" s="1"/>
      <c r="E379" s="1"/>
      <c r="F379" s="1"/>
      <c r="G379" s="1"/>
      <c r="H379" s="1"/>
    </row>
    <row r="380" spans="2:8" x14ac:dyDescent="0.3">
      <c r="B380" s="1"/>
      <c r="C380" s="1"/>
      <c r="D380" s="1"/>
      <c r="E380" s="1"/>
      <c r="F380" s="1"/>
      <c r="G380" s="1"/>
      <c r="H380" s="1"/>
    </row>
    <row r="381" spans="2:8" x14ac:dyDescent="0.3">
      <c r="B381" s="1"/>
      <c r="C381" s="1"/>
      <c r="D381" s="1"/>
      <c r="E381" s="1"/>
      <c r="F381" s="1"/>
      <c r="G381" s="1"/>
      <c r="H381" s="1"/>
    </row>
    <row r="382" spans="2:8" x14ac:dyDescent="0.3">
      <c r="B382" s="1"/>
      <c r="C382" s="1"/>
      <c r="D382" s="1"/>
      <c r="E382" s="1"/>
      <c r="F382" s="1"/>
      <c r="G382" s="1"/>
      <c r="H382" s="1"/>
    </row>
    <row r="383" spans="2:8" x14ac:dyDescent="0.3">
      <c r="B383" s="1"/>
      <c r="C383" s="1"/>
      <c r="D383" s="1"/>
      <c r="E383" s="1"/>
      <c r="F383" s="1"/>
      <c r="G383" s="1"/>
      <c r="H383" s="1"/>
    </row>
    <row r="384" spans="2:8" x14ac:dyDescent="0.3">
      <c r="B384" s="1"/>
      <c r="C384" s="1"/>
      <c r="D384" s="1"/>
      <c r="E384" s="1"/>
      <c r="F384" s="1"/>
      <c r="G384" s="1"/>
      <c r="H384" s="1"/>
    </row>
    <row r="385" spans="2:8" x14ac:dyDescent="0.3">
      <c r="B385" s="1"/>
      <c r="C385" s="1"/>
      <c r="D385" s="1"/>
      <c r="E385" s="1"/>
      <c r="F385" s="1"/>
      <c r="G385" s="1"/>
      <c r="H385" s="1"/>
    </row>
    <row r="386" spans="2:8" x14ac:dyDescent="0.3">
      <c r="B386" s="1"/>
      <c r="C386" s="1"/>
      <c r="D386" s="1"/>
      <c r="E386" s="1"/>
      <c r="F386" s="1"/>
      <c r="G386" s="1"/>
      <c r="H386" s="1"/>
    </row>
    <row r="387" spans="2:8" x14ac:dyDescent="0.3">
      <c r="B387" s="1"/>
      <c r="C387" s="1"/>
      <c r="D387" s="1"/>
      <c r="E387" s="1"/>
      <c r="F387" s="1"/>
      <c r="G387" s="1"/>
      <c r="H387" s="1"/>
    </row>
    <row r="388" spans="2:8" x14ac:dyDescent="0.3">
      <c r="B388" s="1"/>
      <c r="C388" s="1"/>
      <c r="D388" s="1"/>
      <c r="E388" s="1"/>
      <c r="F388" s="1"/>
      <c r="G388" s="1"/>
      <c r="H388" s="1"/>
    </row>
    <row r="389" spans="2:8" x14ac:dyDescent="0.3">
      <c r="B389" s="1"/>
      <c r="C389" s="1"/>
      <c r="D389" s="1"/>
      <c r="E389" s="1"/>
      <c r="F389" s="1"/>
      <c r="G389" s="1"/>
      <c r="H389" s="1"/>
    </row>
    <row r="390" spans="2:8" x14ac:dyDescent="0.3">
      <c r="B390" s="1"/>
      <c r="C390" s="1"/>
      <c r="D390" s="1"/>
      <c r="E390" s="1"/>
      <c r="F390" s="1"/>
      <c r="G390" s="1"/>
      <c r="H390" s="1"/>
    </row>
    <row r="391" spans="2:8" x14ac:dyDescent="0.3">
      <c r="B391" s="1"/>
      <c r="C391" s="1"/>
      <c r="D391" s="1"/>
      <c r="E391" s="1"/>
      <c r="F391" s="1"/>
      <c r="G391" s="1"/>
      <c r="H391" s="1"/>
    </row>
    <row r="392" spans="2:8" x14ac:dyDescent="0.3">
      <c r="B392" s="1"/>
      <c r="C392" s="1"/>
      <c r="D392" s="1"/>
      <c r="E392" s="1"/>
      <c r="F392" s="1"/>
      <c r="G392" s="1"/>
      <c r="H392" s="1"/>
    </row>
    <row r="393" spans="2:8" x14ac:dyDescent="0.3">
      <c r="B393" s="1"/>
      <c r="C393" s="1"/>
      <c r="D393" s="1"/>
      <c r="E393" s="1"/>
      <c r="F393" s="1"/>
      <c r="G393" s="1"/>
      <c r="H393" s="1"/>
    </row>
    <row r="394" spans="2:8" x14ac:dyDescent="0.3">
      <c r="B394" s="1"/>
      <c r="C394" s="1"/>
      <c r="D394" s="1"/>
      <c r="E394" s="1"/>
      <c r="F394" s="1"/>
      <c r="G394" s="1"/>
      <c r="H394" s="1"/>
    </row>
    <row r="395" spans="2:8" x14ac:dyDescent="0.3">
      <c r="B395" s="1"/>
      <c r="C395" s="1"/>
      <c r="D395" s="1"/>
      <c r="E395" s="1"/>
      <c r="F395" s="1"/>
      <c r="G395" s="1"/>
      <c r="H395" s="1"/>
    </row>
    <row r="396" spans="2:8" x14ac:dyDescent="0.3">
      <c r="B396" s="1"/>
      <c r="C396" s="1"/>
      <c r="D396" s="1"/>
      <c r="E396" s="1"/>
      <c r="F396" s="1"/>
      <c r="G396" s="1"/>
      <c r="H396" s="1"/>
    </row>
    <row r="397" spans="2:8" x14ac:dyDescent="0.3">
      <c r="B397" s="1"/>
      <c r="C397" s="1"/>
      <c r="D397" s="1"/>
      <c r="E397" s="1"/>
      <c r="F397" s="1"/>
      <c r="G397" s="1"/>
      <c r="H397" s="1"/>
    </row>
    <row r="398" spans="2:8" x14ac:dyDescent="0.3">
      <c r="B398" s="1"/>
      <c r="C398" s="1"/>
      <c r="D398" s="1"/>
      <c r="E398" s="1"/>
      <c r="F398" s="1"/>
      <c r="G398" s="1"/>
      <c r="H398" s="1"/>
    </row>
    <row r="399" spans="2:8" x14ac:dyDescent="0.3">
      <c r="B399" s="1"/>
      <c r="C399" s="1"/>
      <c r="D399" s="1"/>
      <c r="E399" s="1"/>
      <c r="F399" s="1"/>
      <c r="G399" s="1"/>
      <c r="H399" s="1"/>
    </row>
    <row r="400" spans="2:8" x14ac:dyDescent="0.3">
      <c r="B400" s="1"/>
      <c r="C400" s="1"/>
      <c r="D400" s="1"/>
      <c r="E400" s="1"/>
      <c r="F400" s="1"/>
      <c r="G400" s="1"/>
      <c r="H400" s="1"/>
    </row>
    <row r="401" spans="2:8" x14ac:dyDescent="0.3">
      <c r="B401" s="1"/>
      <c r="C401" s="1"/>
      <c r="D401" s="1"/>
      <c r="E401" s="1"/>
      <c r="F401" s="1"/>
      <c r="G401" s="1"/>
      <c r="H401" s="1"/>
    </row>
    <row r="402" spans="2:8" x14ac:dyDescent="0.3">
      <c r="B402" s="1"/>
      <c r="C402" s="1"/>
      <c r="D402" s="1"/>
      <c r="E402" s="1"/>
      <c r="F402" s="1"/>
      <c r="G402" s="1"/>
      <c r="H402" s="1"/>
    </row>
    <row r="403" spans="2:8" x14ac:dyDescent="0.3">
      <c r="B403" s="1"/>
      <c r="C403" s="1"/>
      <c r="D403" s="1"/>
      <c r="E403" s="1"/>
      <c r="F403" s="1"/>
      <c r="G403" s="1"/>
      <c r="H403" s="1"/>
    </row>
    <row r="404" spans="2:8" x14ac:dyDescent="0.3">
      <c r="B404" s="1"/>
      <c r="C404" s="1"/>
      <c r="D404" s="1"/>
      <c r="E404" s="1"/>
      <c r="F404" s="1"/>
      <c r="G404" s="1"/>
      <c r="H404" s="1"/>
    </row>
    <row r="405" spans="2:8" x14ac:dyDescent="0.3">
      <c r="B405" s="1"/>
      <c r="C405" s="1"/>
      <c r="D405" s="1"/>
      <c r="E405" s="1"/>
      <c r="F405" s="1"/>
      <c r="G405" s="1"/>
      <c r="H405" s="1"/>
    </row>
    <row r="406" spans="2:8" x14ac:dyDescent="0.3">
      <c r="B406" s="1"/>
      <c r="C406" s="1"/>
      <c r="D406" s="1"/>
      <c r="E406" s="1"/>
      <c r="F406" s="1"/>
      <c r="G406" s="1"/>
      <c r="H406" s="1"/>
    </row>
    <row r="407" spans="2:8" x14ac:dyDescent="0.3">
      <c r="B407" s="1"/>
      <c r="C407" s="1"/>
      <c r="D407" s="1"/>
      <c r="E407" s="1"/>
      <c r="F407" s="1"/>
      <c r="G407" s="1"/>
      <c r="H407" s="1"/>
    </row>
    <row r="408" spans="2:8" x14ac:dyDescent="0.3">
      <c r="B408" s="1"/>
      <c r="C408" s="1"/>
      <c r="D408" s="1"/>
      <c r="E408" s="1"/>
      <c r="F408" s="1"/>
      <c r="G408" s="1"/>
      <c r="H408" s="1"/>
    </row>
    <row r="409" spans="2:8" x14ac:dyDescent="0.3">
      <c r="B409" s="1"/>
      <c r="C409" s="1"/>
      <c r="D409" s="1"/>
      <c r="E409" s="1"/>
      <c r="F409" s="1"/>
      <c r="G409" s="1"/>
      <c r="H409" s="1"/>
    </row>
    <row r="410" spans="2:8" x14ac:dyDescent="0.3">
      <c r="B410" s="1"/>
      <c r="C410" s="1"/>
      <c r="D410" s="1"/>
      <c r="E410" s="1"/>
      <c r="F410" s="1"/>
      <c r="G410" s="1"/>
      <c r="H410" s="1"/>
    </row>
    <row r="411" spans="2:8" x14ac:dyDescent="0.3">
      <c r="B411" s="1"/>
      <c r="C411" s="1"/>
      <c r="D411" s="1"/>
      <c r="E411" s="1"/>
      <c r="F411" s="1"/>
      <c r="G411" s="1"/>
      <c r="H411" s="1"/>
    </row>
    <row r="412" spans="2:8" x14ac:dyDescent="0.3">
      <c r="B412" s="1"/>
      <c r="C412" s="1"/>
      <c r="D412" s="1"/>
      <c r="E412" s="1"/>
      <c r="F412" s="1"/>
      <c r="G412" s="1"/>
      <c r="H412" s="1"/>
    </row>
    <row r="413" spans="2:8" x14ac:dyDescent="0.3">
      <c r="B413" s="1"/>
      <c r="C413" s="1"/>
      <c r="D413" s="1"/>
      <c r="E413" s="1"/>
      <c r="F413" s="1"/>
      <c r="G413" s="1"/>
      <c r="H413" s="1"/>
    </row>
    <row r="414" spans="2:8" x14ac:dyDescent="0.3">
      <c r="B414" s="1"/>
      <c r="C414" s="1"/>
      <c r="D414" s="1"/>
      <c r="E414" s="1"/>
      <c r="F414" s="1"/>
      <c r="G414" s="1"/>
      <c r="H414" s="1"/>
    </row>
    <row r="415" spans="2:8" x14ac:dyDescent="0.3">
      <c r="B415" s="1"/>
      <c r="C415" s="1"/>
      <c r="D415" s="1"/>
      <c r="E415" s="1"/>
      <c r="F415" s="1"/>
      <c r="G415" s="1"/>
      <c r="H415" s="1"/>
    </row>
    <row r="416" spans="2:8" x14ac:dyDescent="0.3">
      <c r="B416" s="1"/>
      <c r="C416" s="1"/>
      <c r="D416" s="1"/>
      <c r="E416" s="1"/>
      <c r="F416" s="1"/>
      <c r="G416" s="1"/>
      <c r="H416" s="1"/>
    </row>
    <row r="417" spans="2:8" x14ac:dyDescent="0.3">
      <c r="B417" s="1"/>
      <c r="C417" s="1"/>
      <c r="D417" s="1"/>
      <c r="E417" s="1"/>
      <c r="F417" s="1"/>
      <c r="G417" s="1"/>
      <c r="H417" s="1"/>
    </row>
    <row r="418" spans="2:8" x14ac:dyDescent="0.3">
      <c r="B418" s="1"/>
      <c r="C418" s="1"/>
      <c r="D418" s="1"/>
      <c r="E418" s="1"/>
      <c r="F418" s="1"/>
      <c r="G418" s="1"/>
      <c r="H418" s="1"/>
    </row>
    <row r="419" spans="2:8" x14ac:dyDescent="0.3">
      <c r="B419" s="1"/>
      <c r="C419" s="1"/>
      <c r="D419" s="1"/>
      <c r="E419" s="1"/>
      <c r="F419" s="1"/>
      <c r="G419" s="1"/>
      <c r="H419" s="1"/>
    </row>
    <row r="420" spans="2:8" x14ac:dyDescent="0.3">
      <c r="B420" s="1"/>
      <c r="C420" s="1"/>
      <c r="D420" s="1"/>
      <c r="E420" s="1"/>
      <c r="F420" s="1"/>
      <c r="G420" s="1"/>
      <c r="H420" s="1"/>
    </row>
    <row r="421" spans="2:8" x14ac:dyDescent="0.3">
      <c r="B421" s="1"/>
      <c r="C421" s="1"/>
      <c r="D421" s="1"/>
      <c r="E421" s="1"/>
      <c r="F421" s="1"/>
      <c r="G421" s="1"/>
      <c r="H421" s="1"/>
    </row>
    <row r="422" spans="2:8" x14ac:dyDescent="0.3">
      <c r="B422" s="1"/>
      <c r="C422" s="1"/>
      <c r="D422" s="1"/>
      <c r="E422" s="1"/>
      <c r="F422" s="1"/>
      <c r="G422" s="1"/>
      <c r="H422" s="1"/>
    </row>
    <row r="423" spans="2:8" x14ac:dyDescent="0.3">
      <c r="B423" s="1"/>
      <c r="C423" s="1"/>
      <c r="D423" s="1"/>
      <c r="E423" s="1"/>
      <c r="F423" s="1"/>
      <c r="G423" s="1"/>
      <c r="H423" s="1"/>
    </row>
    <row r="424" spans="2:8" x14ac:dyDescent="0.3">
      <c r="B424" s="1"/>
      <c r="C424" s="1"/>
      <c r="D424" s="1"/>
      <c r="E424" s="1"/>
      <c r="F424" s="1"/>
      <c r="G424" s="1"/>
      <c r="H424" s="1"/>
    </row>
    <row r="425" spans="2:8" x14ac:dyDescent="0.3">
      <c r="B425" s="1"/>
      <c r="C425" s="1"/>
      <c r="D425" s="1"/>
      <c r="E425" s="1"/>
      <c r="F425" s="1"/>
      <c r="G425" s="1"/>
      <c r="H425" s="1"/>
    </row>
    <row r="426" spans="2:8" x14ac:dyDescent="0.3">
      <c r="B426" s="1"/>
      <c r="C426" s="1"/>
      <c r="D426" s="1"/>
      <c r="E426" s="1"/>
      <c r="F426" s="1"/>
      <c r="G426" s="1"/>
      <c r="H426" s="1"/>
    </row>
    <row r="427" spans="2:8" x14ac:dyDescent="0.3">
      <c r="B427" s="1"/>
      <c r="C427" s="1"/>
      <c r="D427" s="1"/>
      <c r="E427" s="1"/>
      <c r="F427" s="1"/>
      <c r="G427" s="1"/>
      <c r="H427" s="1"/>
    </row>
    <row r="428" spans="2:8" x14ac:dyDescent="0.3">
      <c r="B428" s="1"/>
      <c r="C428" s="1"/>
      <c r="D428" s="1"/>
      <c r="E428" s="1"/>
      <c r="F428" s="1"/>
      <c r="G428" s="1"/>
      <c r="H428" s="1"/>
    </row>
    <row r="429" spans="2:8" x14ac:dyDescent="0.3">
      <c r="B429" s="1"/>
      <c r="C429" s="1"/>
      <c r="D429" s="1"/>
      <c r="E429" s="1"/>
      <c r="F429" s="1"/>
      <c r="G429" s="1"/>
      <c r="H429" s="1"/>
    </row>
    <row r="430" spans="2:8" x14ac:dyDescent="0.3">
      <c r="B430" s="1"/>
      <c r="C430" s="1"/>
      <c r="D430" s="1"/>
      <c r="E430" s="1"/>
      <c r="F430" s="1"/>
      <c r="G430" s="1"/>
      <c r="H430" s="1"/>
    </row>
    <row r="431" spans="2:8" x14ac:dyDescent="0.3">
      <c r="B431" s="1"/>
      <c r="C431" s="1"/>
      <c r="D431" s="1"/>
      <c r="E431" s="1"/>
      <c r="F431" s="1"/>
      <c r="G431" s="1"/>
      <c r="H431" s="1"/>
    </row>
    <row r="432" spans="2:8" x14ac:dyDescent="0.3">
      <c r="B432" s="1"/>
      <c r="C432" s="1"/>
      <c r="D432" s="1"/>
      <c r="E432" s="1"/>
      <c r="F432" s="1"/>
      <c r="G432" s="1"/>
      <c r="H432" s="1"/>
    </row>
    <row r="433" spans="2:8" x14ac:dyDescent="0.3">
      <c r="B433" s="1"/>
      <c r="C433" s="1"/>
      <c r="D433" s="1"/>
      <c r="E433" s="1"/>
      <c r="F433" s="1"/>
      <c r="G433" s="1"/>
      <c r="H433" s="1"/>
    </row>
    <row r="434" spans="2:8" x14ac:dyDescent="0.3">
      <c r="B434" s="1"/>
      <c r="C434" s="1"/>
      <c r="D434" s="1"/>
      <c r="E434" s="1"/>
      <c r="F434" s="1"/>
      <c r="G434" s="1"/>
      <c r="H434" s="1"/>
    </row>
    <row r="435" spans="2:8" x14ac:dyDescent="0.3">
      <c r="B435" s="1"/>
      <c r="C435" s="1"/>
      <c r="D435" s="1"/>
      <c r="E435" s="1"/>
      <c r="F435" s="1"/>
      <c r="G435" s="1"/>
      <c r="H435" s="1"/>
    </row>
    <row r="436" spans="2:8" x14ac:dyDescent="0.3">
      <c r="B436" s="1"/>
      <c r="C436" s="1"/>
      <c r="D436" s="1"/>
      <c r="E436" s="1"/>
      <c r="F436" s="1"/>
      <c r="G436" s="1"/>
      <c r="H436" s="1"/>
    </row>
    <row r="437" spans="2:8" x14ac:dyDescent="0.3">
      <c r="B437" s="1"/>
      <c r="C437" s="1"/>
      <c r="D437" s="1"/>
      <c r="E437" s="1"/>
      <c r="F437" s="1"/>
      <c r="G437" s="1"/>
      <c r="H437" s="1"/>
    </row>
    <row r="438" spans="2:8" x14ac:dyDescent="0.3">
      <c r="B438" s="1"/>
      <c r="C438" s="1"/>
      <c r="D438" s="1"/>
      <c r="E438" s="1"/>
      <c r="F438" s="1"/>
      <c r="G438" s="1"/>
      <c r="H438" s="1"/>
    </row>
    <row r="439" spans="2:8" x14ac:dyDescent="0.3">
      <c r="B439" s="1"/>
      <c r="C439" s="1"/>
      <c r="D439" s="1"/>
      <c r="E439" s="1"/>
      <c r="F439" s="1"/>
      <c r="G439" s="1"/>
      <c r="H439" s="1"/>
    </row>
    <row r="440" spans="2:8" x14ac:dyDescent="0.3">
      <c r="B440" s="1"/>
      <c r="C440" s="1"/>
      <c r="D440" s="1"/>
      <c r="E440" s="1"/>
      <c r="F440" s="1"/>
      <c r="G440" s="1"/>
      <c r="H440" s="1"/>
    </row>
    <row r="441" spans="2:8" x14ac:dyDescent="0.3">
      <c r="B441" s="1"/>
      <c r="C441" s="1"/>
      <c r="D441" s="1"/>
      <c r="E441" s="1"/>
      <c r="F441" s="1"/>
      <c r="G441" s="1"/>
      <c r="H441" s="1"/>
    </row>
    <row r="442" spans="2:8" x14ac:dyDescent="0.3">
      <c r="B442" s="1"/>
      <c r="C442" s="1"/>
      <c r="D442" s="1"/>
      <c r="E442" s="1"/>
      <c r="F442" s="1"/>
      <c r="G442" s="1"/>
      <c r="H442" s="1"/>
    </row>
    <row r="443" spans="2:8" x14ac:dyDescent="0.3">
      <c r="B443" s="1"/>
      <c r="C443" s="1"/>
      <c r="D443" s="1"/>
      <c r="E443" s="1"/>
      <c r="F443" s="1"/>
      <c r="G443" s="1"/>
      <c r="H443" s="1"/>
    </row>
    <row r="444" spans="2:8" x14ac:dyDescent="0.3">
      <c r="B444" s="1"/>
      <c r="C444" s="1"/>
      <c r="D444" s="1"/>
      <c r="E444" s="1"/>
      <c r="F444" s="1"/>
      <c r="G444" s="1"/>
      <c r="H444" s="1"/>
    </row>
    <row r="445" spans="2:8" x14ac:dyDescent="0.3">
      <c r="B445" s="1"/>
      <c r="C445" s="1"/>
      <c r="D445" s="1"/>
      <c r="E445" s="1"/>
      <c r="F445" s="1"/>
      <c r="G445" s="1"/>
      <c r="H445" s="1"/>
    </row>
    <row r="446" spans="2:8" x14ac:dyDescent="0.3">
      <c r="B446" s="1"/>
      <c r="C446" s="1"/>
      <c r="D446" s="1"/>
      <c r="E446" s="1"/>
      <c r="F446" s="1"/>
      <c r="G446" s="1"/>
      <c r="H446" s="1"/>
    </row>
    <row r="447" spans="2:8" x14ac:dyDescent="0.3">
      <c r="B447" s="1"/>
      <c r="C447" s="1"/>
      <c r="D447" s="1"/>
      <c r="E447" s="1"/>
      <c r="F447" s="1"/>
      <c r="G447" s="1"/>
      <c r="H447" s="1"/>
    </row>
    <row r="448" spans="2:8" x14ac:dyDescent="0.3">
      <c r="B448" s="1"/>
      <c r="C448" s="1"/>
      <c r="D448" s="1"/>
      <c r="E448" s="1"/>
      <c r="F448" s="1"/>
      <c r="G448" s="1"/>
      <c r="H448" s="1"/>
    </row>
    <row r="449" spans="2:8" x14ac:dyDescent="0.3">
      <c r="B449" s="1"/>
      <c r="C449" s="1"/>
      <c r="D449" s="1"/>
      <c r="E449" s="1"/>
      <c r="F449" s="1"/>
      <c r="G449" s="1"/>
      <c r="H449" s="1"/>
    </row>
    <row r="450" spans="2:8" x14ac:dyDescent="0.3">
      <c r="B450" s="1"/>
      <c r="C450" s="1"/>
      <c r="D450" s="1"/>
      <c r="E450" s="1"/>
      <c r="F450" s="1"/>
      <c r="G450" s="1"/>
      <c r="H450" s="1"/>
    </row>
    <row r="451" spans="2:8" x14ac:dyDescent="0.3">
      <c r="B451" s="1"/>
      <c r="C451" s="1"/>
      <c r="D451" s="1"/>
      <c r="E451" s="1"/>
      <c r="F451" s="1"/>
      <c r="G451" s="1"/>
      <c r="H451" s="1"/>
    </row>
    <row r="452" spans="2:8" x14ac:dyDescent="0.3">
      <c r="B452" s="1"/>
      <c r="C452" s="1"/>
      <c r="D452" s="1"/>
      <c r="E452" s="1"/>
      <c r="F452" s="1"/>
      <c r="G452" s="1"/>
      <c r="H452" s="1"/>
    </row>
    <row r="453" spans="2:8" x14ac:dyDescent="0.3">
      <c r="B453" s="1"/>
      <c r="C453" s="1"/>
      <c r="D453" s="1"/>
      <c r="E453" s="1"/>
      <c r="F453" s="1"/>
      <c r="G453" s="1"/>
      <c r="H453" s="1"/>
    </row>
    <row r="454" spans="2:8" x14ac:dyDescent="0.3">
      <c r="B454" s="1"/>
      <c r="C454" s="1"/>
      <c r="D454" s="1"/>
      <c r="E454" s="1"/>
      <c r="F454" s="1"/>
      <c r="G454" s="1"/>
      <c r="H454" s="1"/>
    </row>
    <row r="455" spans="2:8" x14ac:dyDescent="0.3">
      <c r="B455" s="1"/>
      <c r="C455" s="1"/>
      <c r="D455" s="1"/>
      <c r="E455" s="1"/>
      <c r="F455" s="1"/>
      <c r="G455" s="1"/>
      <c r="H455" s="1"/>
    </row>
    <row r="456" spans="2:8" x14ac:dyDescent="0.3">
      <c r="B456" s="1"/>
      <c r="C456" s="1"/>
      <c r="D456" s="1"/>
      <c r="E456" s="1"/>
      <c r="F456" s="1"/>
      <c r="G456" s="1"/>
      <c r="H456" s="1"/>
    </row>
    <row r="457" spans="2:8" x14ac:dyDescent="0.3">
      <c r="B457" s="1"/>
      <c r="C457" s="1"/>
      <c r="D457" s="1"/>
      <c r="E457" s="1"/>
      <c r="F457" s="1"/>
      <c r="G457" s="1"/>
      <c r="H457" s="1"/>
    </row>
    <row r="458" spans="2:8" x14ac:dyDescent="0.3">
      <c r="B458" s="1"/>
      <c r="C458" s="1"/>
      <c r="D458" s="1"/>
      <c r="E458" s="1"/>
      <c r="F458" s="1"/>
      <c r="G458" s="1"/>
      <c r="H458" s="1"/>
    </row>
    <row r="459" spans="2:8" x14ac:dyDescent="0.3">
      <c r="B459" s="1"/>
      <c r="C459" s="1"/>
      <c r="D459" s="1"/>
      <c r="E459" s="1"/>
      <c r="F459" s="1"/>
      <c r="G459" s="1"/>
      <c r="H459" s="1"/>
    </row>
    <row r="460" spans="2:8" x14ac:dyDescent="0.3">
      <c r="B460" s="1"/>
      <c r="C460" s="1"/>
      <c r="D460" s="1"/>
      <c r="E460" s="1"/>
      <c r="F460" s="1"/>
      <c r="G460" s="1"/>
      <c r="H460" s="1"/>
    </row>
    <row r="461" spans="2:8" x14ac:dyDescent="0.3">
      <c r="B461" s="1"/>
      <c r="C461" s="1"/>
      <c r="D461" s="1"/>
      <c r="E461" s="1"/>
      <c r="F461" s="1"/>
      <c r="G461" s="1"/>
      <c r="H461" s="1"/>
    </row>
    <row r="462" spans="2:8" x14ac:dyDescent="0.3">
      <c r="B462" s="1"/>
      <c r="C462" s="1"/>
      <c r="D462" s="1"/>
      <c r="E462" s="1"/>
      <c r="F462" s="1"/>
      <c r="G462" s="1"/>
      <c r="H462" s="1"/>
    </row>
    <row r="463" spans="2:8" x14ac:dyDescent="0.3">
      <c r="B463" s="1"/>
      <c r="C463" s="1"/>
      <c r="D463" s="1"/>
      <c r="E463" s="1"/>
      <c r="F463" s="1"/>
      <c r="G463" s="1"/>
      <c r="H463" s="1"/>
    </row>
    <row r="464" spans="2:8" x14ac:dyDescent="0.3">
      <c r="B464" s="1"/>
      <c r="C464" s="1"/>
      <c r="D464" s="1"/>
      <c r="E464" s="1"/>
      <c r="F464" s="1"/>
      <c r="G464" s="1"/>
      <c r="H464" s="1"/>
    </row>
    <row r="465" spans="2:8" x14ac:dyDescent="0.3">
      <c r="B465" s="1"/>
      <c r="C465" s="1"/>
      <c r="D465" s="1"/>
      <c r="E465" s="1"/>
      <c r="F465" s="1"/>
      <c r="G465" s="1"/>
      <c r="H465" s="1"/>
    </row>
    <row r="466" spans="2:8" x14ac:dyDescent="0.3">
      <c r="B466" s="1"/>
      <c r="C466" s="1"/>
      <c r="D466" s="1"/>
      <c r="E466" s="1"/>
      <c r="F466" s="1"/>
      <c r="G466" s="1"/>
      <c r="H466" s="1"/>
    </row>
    <row r="467" spans="2:8" x14ac:dyDescent="0.3">
      <c r="B467" s="1"/>
      <c r="C467" s="1"/>
      <c r="D467" s="1"/>
      <c r="E467" s="1"/>
      <c r="F467" s="1"/>
      <c r="G467" s="1"/>
      <c r="H467" s="1"/>
    </row>
    <row r="468" spans="2:8" x14ac:dyDescent="0.3">
      <c r="B468" s="1"/>
      <c r="C468" s="1"/>
      <c r="D468" s="1"/>
      <c r="E468" s="1"/>
      <c r="F468" s="1"/>
      <c r="G468" s="1"/>
      <c r="H468" s="1"/>
    </row>
    <row r="469" spans="2:8" x14ac:dyDescent="0.3">
      <c r="B469" s="1"/>
      <c r="C469" s="1"/>
      <c r="D469" s="1"/>
      <c r="E469" s="1"/>
      <c r="F469" s="1"/>
      <c r="G469" s="1"/>
      <c r="H469" s="1"/>
    </row>
    <row r="470" spans="2:8" x14ac:dyDescent="0.3">
      <c r="B470" s="1"/>
      <c r="C470" s="1"/>
      <c r="D470" s="1"/>
      <c r="E470" s="1"/>
      <c r="F470" s="1"/>
      <c r="G470" s="1"/>
      <c r="H470" s="1"/>
    </row>
    <row r="471" spans="2:8" x14ac:dyDescent="0.3">
      <c r="B471" s="1"/>
      <c r="C471" s="1"/>
      <c r="D471" s="1"/>
      <c r="E471" s="1"/>
      <c r="F471" s="1"/>
      <c r="G471" s="1"/>
      <c r="H471" s="1"/>
    </row>
    <row r="472" spans="2:8" x14ac:dyDescent="0.3">
      <c r="B472" s="1"/>
      <c r="C472" s="1"/>
      <c r="D472" s="1"/>
      <c r="E472" s="1"/>
      <c r="F472" s="1"/>
      <c r="G472" s="1"/>
      <c r="H472" s="1"/>
    </row>
    <row r="473" spans="2:8" x14ac:dyDescent="0.3">
      <c r="B473" s="1"/>
      <c r="C473" s="1"/>
      <c r="D473" s="1"/>
      <c r="E473" s="1"/>
      <c r="F473" s="1"/>
      <c r="G473" s="1"/>
      <c r="H473" s="1"/>
    </row>
    <row r="474" spans="2:8" x14ac:dyDescent="0.3">
      <c r="B474" s="1"/>
      <c r="C474" s="1"/>
      <c r="D474" s="1"/>
      <c r="E474" s="1"/>
      <c r="F474" s="1"/>
      <c r="G474" s="1"/>
      <c r="H474" s="1"/>
    </row>
    <row r="475" spans="2:8" x14ac:dyDescent="0.3">
      <c r="B475" s="1"/>
      <c r="C475" s="1"/>
      <c r="D475" s="1"/>
      <c r="E475" s="1"/>
      <c r="F475" s="1"/>
      <c r="G475" s="1"/>
      <c r="H475" s="1"/>
    </row>
    <row r="476" spans="2:8" x14ac:dyDescent="0.3">
      <c r="B476" s="1"/>
      <c r="C476" s="1"/>
      <c r="D476" s="1"/>
      <c r="E476" s="1"/>
      <c r="F476" s="1"/>
      <c r="G476" s="1"/>
      <c r="H476" s="1"/>
    </row>
    <row r="477" spans="2:8" x14ac:dyDescent="0.3">
      <c r="B477" s="1"/>
      <c r="C477" s="1"/>
      <c r="D477" s="1"/>
      <c r="E477" s="1"/>
      <c r="F477" s="1"/>
      <c r="G477" s="1"/>
      <c r="H477" s="1"/>
    </row>
    <row r="478" spans="2:8" x14ac:dyDescent="0.3">
      <c r="B478" s="1"/>
      <c r="C478" s="1"/>
      <c r="D478" s="1"/>
      <c r="E478" s="1"/>
      <c r="F478" s="1"/>
      <c r="G478" s="1"/>
      <c r="H478" s="1"/>
    </row>
    <row r="479" spans="2:8" x14ac:dyDescent="0.3">
      <c r="B479" s="1"/>
      <c r="C479" s="1"/>
      <c r="D479" s="1"/>
      <c r="E479" s="1"/>
      <c r="F479" s="1"/>
      <c r="G479" s="1"/>
      <c r="H479" s="1"/>
    </row>
    <row r="480" spans="2:8" x14ac:dyDescent="0.3">
      <c r="B480" s="1"/>
      <c r="C480" s="1"/>
      <c r="D480" s="1"/>
      <c r="E480" s="1"/>
      <c r="F480" s="1"/>
      <c r="G480" s="1"/>
      <c r="H480" s="1"/>
    </row>
    <row r="481" spans="2:8" x14ac:dyDescent="0.3">
      <c r="B481" s="1"/>
      <c r="C481" s="1"/>
      <c r="D481" s="1"/>
      <c r="E481" s="1"/>
      <c r="F481" s="1"/>
      <c r="G481" s="1"/>
      <c r="H481" s="1"/>
    </row>
    <row r="482" spans="2:8" x14ac:dyDescent="0.3">
      <c r="B482" s="1"/>
      <c r="C482" s="1"/>
      <c r="D482" s="1"/>
      <c r="E482" s="1"/>
      <c r="F482" s="1"/>
      <c r="G482" s="1"/>
      <c r="H482" s="1"/>
    </row>
    <row r="483" spans="2:8" x14ac:dyDescent="0.3">
      <c r="B483" s="1"/>
      <c r="C483" s="1"/>
      <c r="D483" s="1"/>
      <c r="E483" s="1"/>
      <c r="F483" s="1"/>
      <c r="G483" s="1"/>
      <c r="H483" s="1"/>
    </row>
    <row r="484" spans="2:8" x14ac:dyDescent="0.3">
      <c r="B484" s="1"/>
      <c r="C484" s="1"/>
      <c r="D484" s="1"/>
      <c r="E484" s="1"/>
      <c r="F484" s="1"/>
      <c r="G484" s="1"/>
      <c r="H484" s="1"/>
    </row>
    <row r="485" spans="2:8" x14ac:dyDescent="0.3">
      <c r="B485" s="1"/>
      <c r="C485" s="1"/>
      <c r="D485" s="1"/>
      <c r="E485" s="1"/>
      <c r="F485" s="1"/>
      <c r="G485" s="1"/>
      <c r="H485" s="1"/>
    </row>
    <row r="486" spans="2:8" x14ac:dyDescent="0.3">
      <c r="B486" s="1"/>
      <c r="C486" s="1"/>
      <c r="D486" s="1"/>
      <c r="E486" s="1"/>
      <c r="F486" s="1"/>
      <c r="G486" s="1"/>
      <c r="H486" s="1"/>
    </row>
    <row r="487" spans="2:8" x14ac:dyDescent="0.3">
      <c r="B487" s="1"/>
      <c r="C487" s="1"/>
      <c r="D487" s="1"/>
      <c r="E487" s="1"/>
      <c r="F487" s="1"/>
      <c r="G487" s="1"/>
      <c r="H487" s="1"/>
    </row>
    <row r="488" spans="2:8" x14ac:dyDescent="0.3">
      <c r="B488" s="1"/>
      <c r="C488" s="1"/>
      <c r="D488" s="1"/>
      <c r="E488" s="1"/>
      <c r="F488" s="1"/>
      <c r="G488" s="1"/>
      <c r="H488" s="1"/>
    </row>
    <row r="489" spans="2:8" x14ac:dyDescent="0.3">
      <c r="B489" s="1"/>
      <c r="C489" s="1"/>
      <c r="D489" s="1"/>
      <c r="E489" s="1"/>
      <c r="F489" s="1"/>
      <c r="G489" s="1"/>
      <c r="H489" s="1"/>
    </row>
    <row r="490" spans="2:8" x14ac:dyDescent="0.3">
      <c r="B490" s="1"/>
      <c r="C490" s="1"/>
      <c r="D490" s="1"/>
      <c r="E490" s="1"/>
      <c r="F490" s="1"/>
      <c r="G490" s="1"/>
      <c r="H490" s="1"/>
    </row>
    <row r="491" spans="2:8" x14ac:dyDescent="0.3">
      <c r="B491" s="1"/>
      <c r="C491" s="1"/>
      <c r="D491" s="1"/>
      <c r="E491" s="1"/>
      <c r="F491" s="1"/>
      <c r="G491" s="1"/>
      <c r="H491" s="1"/>
    </row>
    <row r="492" spans="2:8" x14ac:dyDescent="0.3">
      <c r="B492" s="1"/>
      <c r="C492" s="1"/>
      <c r="D492" s="1"/>
      <c r="E492" s="1"/>
      <c r="F492" s="1"/>
      <c r="G492" s="1"/>
      <c r="H492" s="1"/>
    </row>
    <row r="493" spans="2:8" x14ac:dyDescent="0.3">
      <c r="B493" s="1"/>
      <c r="C493" s="1"/>
      <c r="D493" s="1"/>
      <c r="E493" s="1"/>
      <c r="F493" s="1"/>
      <c r="G493" s="1"/>
      <c r="H493" s="1"/>
    </row>
    <row r="494" spans="2:8" x14ac:dyDescent="0.3">
      <c r="B494" s="1"/>
      <c r="C494" s="1"/>
      <c r="D494" s="1"/>
      <c r="E494" s="1"/>
      <c r="F494" s="1"/>
      <c r="G494" s="1"/>
      <c r="H494" s="1"/>
    </row>
    <row r="495" spans="2:8" x14ac:dyDescent="0.3">
      <c r="B495" s="1"/>
      <c r="C495" s="1"/>
      <c r="D495" s="1"/>
      <c r="E495" s="1"/>
      <c r="F495" s="1"/>
      <c r="G495" s="1"/>
      <c r="H495" s="1"/>
    </row>
    <row r="496" spans="2:8" x14ac:dyDescent="0.3">
      <c r="B496" s="1"/>
      <c r="C496" s="1"/>
      <c r="D496" s="1"/>
      <c r="E496" s="1"/>
      <c r="F496" s="1"/>
      <c r="G496" s="1"/>
      <c r="H496" s="1"/>
    </row>
    <row r="497" spans="2:8" x14ac:dyDescent="0.3">
      <c r="B497" s="1"/>
      <c r="C497" s="1"/>
      <c r="D497" s="1"/>
      <c r="E497" s="1"/>
      <c r="F497" s="1"/>
      <c r="G497" s="1"/>
      <c r="H497" s="1"/>
    </row>
    <row r="498" spans="2:8" x14ac:dyDescent="0.3">
      <c r="B498" s="1"/>
      <c r="C498" s="1"/>
      <c r="D498" s="1"/>
      <c r="E498" s="1"/>
      <c r="F498" s="1"/>
      <c r="G498" s="1"/>
      <c r="H498" s="1"/>
    </row>
    <row r="499" spans="2:8" x14ac:dyDescent="0.3">
      <c r="B499" s="1"/>
      <c r="C499" s="1"/>
      <c r="D499" s="1"/>
      <c r="E499" s="1"/>
      <c r="F499" s="1"/>
      <c r="G499" s="1"/>
      <c r="H499" s="1"/>
    </row>
    <row r="500" spans="2:8" x14ac:dyDescent="0.3">
      <c r="B500" s="1"/>
      <c r="C500" s="1"/>
      <c r="D500" s="1"/>
      <c r="E500" s="1"/>
      <c r="F500" s="1"/>
      <c r="G500" s="1"/>
      <c r="H500" s="1"/>
    </row>
  </sheetData>
  <conditionalFormatting sqref="A2:A31">
    <cfRule type="duplicateValues" dxfId="23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EF9D-9136-49DF-9E46-9019C4167A74}">
  <dimension ref="B1:Q39"/>
  <sheetViews>
    <sheetView zoomScale="70" zoomScaleNormal="70" workbookViewId="0">
      <selection activeCell="A8" sqref="A8"/>
    </sheetView>
  </sheetViews>
  <sheetFormatPr defaultRowHeight="14.4" x14ac:dyDescent="0.3"/>
  <cols>
    <col min="2" max="2" width="17.5546875" bestFit="1" customWidth="1"/>
    <col min="4" max="4" width="11.21875" bestFit="1" customWidth="1"/>
    <col min="6" max="6" width="14" bestFit="1" customWidth="1"/>
    <col min="8" max="8" width="14" bestFit="1" customWidth="1"/>
    <col min="10" max="10" width="32" bestFit="1" customWidth="1"/>
    <col min="11" max="11" width="4" customWidth="1"/>
    <col min="12" max="12" width="25.5546875" bestFit="1" customWidth="1"/>
    <col min="13" max="13" width="14" customWidth="1"/>
    <col min="14" max="14" width="31.44140625" bestFit="1" customWidth="1"/>
    <col min="15" max="15" width="13.33203125" bestFit="1" customWidth="1"/>
    <col min="16" max="16" width="14.33203125" bestFit="1" customWidth="1"/>
    <col min="17" max="17" width="19.88671875" bestFit="1" customWidth="1"/>
  </cols>
  <sheetData>
    <row r="1" spans="2:17" ht="23.4" x14ac:dyDescent="0.45">
      <c r="B1" s="44" t="s">
        <v>88</v>
      </c>
      <c r="C1" s="44"/>
      <c r="D1" s="44"/>
      <c r="E1" s="44"/>
      <c r="F1" s="44"/>
      <c r="G1" s="44"/>
      <c r="H1" s="44"/>
      <c r="I1" s="44"/>
      <c r="J1" s="44"/>
    </row>
    <row r="2" spans="2:17" ht="18" x14ac:dyDescent="0.35">
      <c r="B2" s="47" t="s">
        <v>65</v>
      </c>
      <c r="C2" s="47"/>
      <c r="D2" s="47" t="s">
        <v>67</v>
      </c>
      <c r="E2" s="47"/>
      <c r="F2" s="48" t="s">
        <v>69</v>
      </c>
      <c r="G2" s="49"/>
      <c r="H2" s="48" t="s">
        <v>72</v>
      </c>
      <c r="I2" s="49"/>
      <c r="J2" s="11" t="s">
        <v>74</v>
      </c>
      <c r="L2" s="45" t="s">
        <v>75</v>
      </c>
      <c r="M2" s="46"/>
      <c r="N2" s="45" t="s">
        <v>80</v>
      </c>
      <c r="O2" s="46"/>
      <c r="P2" s="45" t="s">
        <v>76</v>
      </c>
      <c r="Q2" s="46"/>
    </row>
    <row r="3" spans="2:17" ht="18" x14ac:dyDescent="0.35">
      <c r="B3" s="50">
        <f>SUM('Inventory Sales'!K2:K31)</f>
        <v>22880.270000000004</v>
      </c>
      <c r="C3" s="51"/>
      <c r="D3" s="52">
        <f>SUM('Inventory Sales'!M2:M31)</f>
        <v>8518.56</v>
      </c>
      <c r="E3" s="52"/>
      <c r="F3" s="50">
        <f>SUM('Inventory Sales'!O7:O31)</f>
        <v>1644.5900000000004</v>
      </c>
      <c r="G3" s="51"/>
      <c r="H3" s="48">
        <f>SUM('Inventory Sales'!G7:G31)</f>
        <v>6216</v>
      </c>
      <c r="I3" s="49"/>
      <c r="J3" s="10">
        <f>COUNTIF('Inventory Sales'!E2:E31,"Reorder Soon") + COUNTIF('Inventory Sales'!E2:E31,"Out Of Stock")</f>
        <v>13</v>
      </c>
      <c r="L3" s="9" t="s">
        <v>1</v>
      </c>
      <c r="M3" s="9" t="s">
        <v>77</v>
      </c>
      <c r="N3" s="9" t="s">
        <v>0</v>
      </c>
      <c r="O3" s="9" t="s">
        <v>9</v>
      </c>
      <c r="P3" s="9" t="s">
        <v>78</v>
      </c>
      <c r="Q3" s="9" t="s">
        <v>79</v>
      </c>
    </row>
    <row r="4" spans="2:17" x14ac:dyDescent="0.3">
      <c r="L4" s="2" t="s">
        <v>28</v>
      </c>
      <c r="M4" s="12">
        <f>SUMIF('Inventory Sales'!B5:B34,L4, 'Inventory Sales'!K5:K34)</f>
        <v>3495.67</v>
      </c>
      <c r="N4" s="2" t="s">
        <v>81</v>
      </c>
      <c r="O4" s="29">
        <v>39</v>
      </c>
      <c r="P4" s="7" t="s">
        <v>86</v>
      </c>
      <c r="Q4" s="29">
        <f>COUNTIF('Inventory Sales'!E2:E31, "Sufficient Stock")</f>
        <v>17</v>
      </c>
    </row>
    <row r="5" spans="2:17" x14ac:dyDescent="0.3">
      <c r="L5" s="2" t="s">
        <v>43</v>
      </c>
      <c r="M5" s="12">
        <f>SUMIF('Inventory Sales'!B3:B32,L5, 'Inventory Sales'!K3:K32)</f>
        <v>3014.43</v>
      </c>
      <c r="N5" s="2" t="s">
        <v>82</v>
      </c>
      <c r="O5" s="30">
        <v>37</v>
      </c>
      <c r="P5" s="7" t="s">
        <v>87</v>
      </c>
      <c r="Q5" s="30">
        <f>COUNTIF('Inventory Sales'!E2:E31,"Reorder Soon")</f>
        <v>13</v>
      </c>
    </row>
    <row r="6" spans="2:17" x14ac:dyDescent="0.3">
      <c r="L6" s="2" t="s">
        <v>14</v>
      </c>
      <c r="M6" s="12">
        <f>SUMIF('Inventory Sales'!B9:B38,L6, 'Inventory Sales'!K9:K38)</f>
        <v>2958.0699999999997</v>
      </c>
      <c r="N6" s="2" t="s">
        <v>83</v>
      </c>
      <c r="O6" s="29">
        <v>34</v>
      </c>
      <c r="P6" s="7" t="s">
        <v>73</v>
      </c>
      <c r="Q6" s="30">
        <f>COUNTIF('Inventory Sales'!E7:E31,"Out Of Stock")</f>
        <v>0</v>
      </c>
    </row>
    <row r="7" spans="2:17" x14ac:dyDescent="0.3">
      <c r="L7" s="2" t="s">
        <v>11</v>
      </c>
      <c r="M7" s="12">
        <f>SUMIF('Inventory Sales'!B4:B33,L7, 'Inventory Sales'!K4:K33)</f>
        <v>2764.54</v>
      </c>
      <c r="N7" s="2" t="s">
        <v>84</v>
      </c>
      <c r="O7" s="29">
        <v>27</v>
      </c>
    </row>
    <row r="8" spans="2:17" x14ac:dyDescent="0.3">
      <c r="L8" s="2" t="s">
        <v>36</v>
      </c>
      <c r="M8" s="12">
        <f>SUMIF('Inventory Sales'!B2:B31,L8, 'Inventory Sales'!K2:K31)</f>
        <v>2327.73</v>
      </c>
      <c r="N8" s="2" t="s">
        <v>85</v>
      </c>
      <c r="O8" s="29">
        <v>24</v>
      </c>
    </row>
    <row r="9" spans="2:17" x14ac:dyDescent="0.3">
      <c r="L9" s="2" t="s">
        <v>24</v>
      </c>
      <c r="M9" s="12">
        <f>SUMIF('Inventory Sales'!B12:B41,L9, 'Inventory Sales'!K12:K41)</f>
        <v>1069.75</v>
      </c>
      <c r="N9" s="57"/>
      <c r="O9" s="58"/>
      <c r="P9" s="57"/>
      <c r="Q9" s="57"/>
    </row>
    <row r="10" spans="2:17" x14ac:dyDescent="0.3">
      <c r="L10" s="2" t="s">
        <v>41</v>
      </c>
      <c r="M10" s="12">
        <f>SUMIF('Inventory Sales'!B6:B35,L10, 'Inventory Sales'!K6:K35)</f>
        <v>983.41999999999985</v>
      </c>
      <c r="N10" s="1"/>
      <c r="O10" s="1"/>
    </row>
    <row r="11" spans="2:17" x14ac:dyDescent="0.3">
      <c r="L11" s="2" t="s">
        <v>30</v>
      </c>
      <c r="M11" s="12">
        <f>SUMIF('Inventory Sales'!B11:B40,L11, 'Inventory Sales'!K11:K40)</f>
        <v>782.2</v>
      </c>
      <c r="N11" s="56"/>
      <c r="O11" s="56"/>
    </row>
    <row r="12" spans="2:17" x14ac:dyDescent="0.3">
      <c r="L12" s="2" t="s">
        <v>22</v>
      </c>
      <c r="M12" s="12">
        <f>SUMIF('Inventory Sales'!B7:B36,L12, 'Inventory Sales'!K7:K36)</f>
        <v>359.34000000000003</v>
      </c>
      <c r="N12" s="56"/>
      <c r="O12" s="56"/>
    </row>
    <row r="13" spans="2:17" x14ac:dyDescent="0.3">
      <c r="L13" s="2" t="s">
        <v>17</v>
      </c>
      <c r="M13" s="12">
        <f>SUMIF('Inventory Sales'!B13:B42,L13, 'Inventory Sales'!K13:K42)</f>
        <v>316.25</v>
      </c>
      <c r="N13" s="56"/>
      <c r="O13" s="56"/>
      <c r="P13" s="57"/>
      <c r="Q13" s="57"/>
    </row>
    <row r="14" spans="2:17" x14ac:dyDescent="0.3">
      <c r="L14" s="2" t="s">
        <v>19</v>
      </c>
      <c r="M14" s="12">
        <f>SUMIF('Inventory Sales'!B8:B37,L14, 'Inventory Sales'!K8:K37)</f>
        <v>295.28999999999996</v>
      </c>
      <c r="N14" s="56"/>
      <c r="O14" s="56"/>
      <c r="P14" s="57"/>
      <c r="Q14" s="57"/>
    </row>
    <row r="15" spans="2:17" x14ac:dyDescent="0.3">
      <c r="L15" s="2" t="s">
        <v>46</v>
      </c>
      <c r="M15" s="28">
        <f>SUMIF('Inventory Sales'!B10:B39,L15, 'Inventory Sales'!K10:K39)</f>
        <v>161.47</v>
      </c>
      <c r="N15" s="56"/>
      <c r="O15" s="56"/>
      <c r="P15" s="57"/>
      <c r="Q15" s="57"/>
    </row>
    <row r="16" spans="2:17" x14ac:dyDescent="0.3">
      <c r="M16" s="27"/>
      <c r="N16" s="1"/>
      <c r="O16" s="1"/>
    </row>
    <row r="17" spans="13:15" x14ac:dyDescent="0.3">
      <c r="M17" s="27"/>
      <c r="N17" s="1"/>
      <c r="O17" s="1"/>
    </row>
    <row r="18" spans="13:15" x14ac:dyDescent="0.3">
      <c r="M18" s="27"/>
    </row>
    <row r="19" spans="13:15" x14ac:dyDescent="0.3">
      <c r="M19" s="27"/>
      <c r="N19" s="1"/>
      <c r="O19" s="1"/>
    </row>
    <row r="20" spans="13:15" x14ac:dyDescent="0.3">
      <c r="M20" s="27"/>
    </row>
    <row r="21" spans="13:15" x14ac:dyDescent="0.3">
      <c r="M21" s="27"/>
      <c r="N21" s="1"/>
      <c r="O21" s="1"/>
    </row>
    <row r="22" spans="13:15" x14ac:dyDescent="0.3">
      <c r="M22" s="27"/>
      <c r="N22" s="1"/>
      <c r="O22" s="1"/>
    </row>
    <row r="23" spans="13:15" x14ac:dyDescent="0.3">
      <c r="M23" s="8"/>
      <c r="N23" s="1"/>
      <c r="O23" s="1"/>
    </row>
    <row r="24" spans="13:15" x14ac:dyDescent="0.3">
      <c r="M24" s="8"/>
      <c r="N24" s="1"/>
      <c r="O24" s="1"/>
    </row>
    <row r="25" spans="13:15" x14ac:dyDescent="0.3">
      <c r="M25" s="8"/>
      <c r="N25" s="1"/>
      <c r="O25" s="1"/>
    </row>
    <row r="26" spans="13:15" x14ac:dyDescent="0.3">
      <c r="M26" s="8"/>
      <c r="N26" s="1"/>
      <c r="O26" s="1"/>
    </row>
    <row r="27" spans="13:15" x14ac:dyDescent="0.3">
      <c r="M27" s="8"/>
      <c r="N27" s="1"/>
      <c r="O27" s="1"/>
    </row>
    <row r="28" spans="13:15" x14ac:dyDescent="0.3">
      <c r="M28" s="8"/>
      <c r="N28" s="1"/>
      <c r="O28" s="1"/>
    </row>
    <row r="29" spans="13:15" x14ac:dyDescent="0.3">
      <c r="M29" s="8"/>
      <c r="N29" s="1"/>
      <c r="O29" s="1"/>
    </row>
    <row r="30" spans="13:15" x14ac:dyDescent="0.3">
      <c r="M30" s="8"/>
      <c r="N30" s="1"/>
      <c r="O30" s="1"/>
    </row>
    <row r="31" spans="13:15" x14ac:dyDescent="0.3">
      <c r="M31" s="8"/>
      <c r="N31" s="1"/>
      <c r="O31" s="1"/>
    </row>
    <row r="32" spans="13:15" x14ac:dyDescent="0.3">
      <c r="M32" s="8"/>
      <c r="N32" s="1"/>
      <c r="O32" s="1"/>
    </row>
    <row r="33" spans="13:14" x14ac:dyDescent="0.3">
      <c r="M33" s="8"/>
    </row>
    <row r="36" spans="13:14" x14ac:dyDescent="0.3">
      <c r="N36" s="1"/>
    </row>
    <row r="37" spans="13:14" x14ac:dyDescent="0.3">
      <c r="N37" s="1"/>
    </row>
    <row r="38" spans="13:14" x14ac:dyDescent="0.3">
      <c r="N38" s="1"/>
    </row>
    <row r="39" spans="13:14" x14ac:dyDescent="0.3">
      <c r="N39" s="1"/>
    </row>
  </sheetData>
  <sortState xmlns:xlrd2="http://schemas.microsoft.com/office/spreadsheetml/2017/richdata2" ref="M4:M15">
    <sortCondition descending="1" ref="M4:M15"/>
  </sortState>
  <mergeCells count="12">
    <mergeCell ref="H3:I3"/>
    <mergeCell ref="B3:C3"/>
    <mergeCell ref="D2:E2"/>
    <mergeCell ref="D3:E3"/>
    <mergeCell ref="F2:G2"/>
    <mergeCell ref="F3:G3"/>
    <mergeCell ref="B1:J1"/>
    <mergeCell ref="L2:M2"/>
    <mergeCell ref="N2:O2"/>
    <mergeCell ref="P2:Q2"/>
    <mergeCell ref="B2:C2"/>
    <mergeCell ref="H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514C-3C84-4512-AC57-5FC53047A35D}">
  <dimension ref="A3:N16"/>
  <sheetViews>
    <sheetView topLeftCell="B1" zoomScale="90" zoomScaleNormal="90" workbookViewId="0">
      <selection activeCell="E20" sqref="E20"/>
    </sheetView>
  </sheetViews>
  <sheetFormatPr defaultRowHeight="14.4" x14ac:dyDescent="0.3"/>
  <cols>
    <col min="1" max="1" width="17.109375" bestFit="1" customWidth="1"/>
    <col min="2" max="2" width="19.77734375" bestFit="1" customWidth="1"/>
    <col min="4" max="4" width="19.77734375" bestFit="1" customWidth="1"/>
    <col min="5" max="5" width="19.109375" bestFit="1" customWidth="1"/>
    <col min="7" max="7" width="15" bestFit="1" customWidth="1"/>
    <col min="8" max="8" width="17.44140625" bestFit="1" customWidth="1"/>
    <col min="9" max="9" width="10.6640625" customWidth="1"/>
    <col min="10" max="10" width="15" bestFit="1" customWidth="1"/>
    <col min="11" max="11" width="25.5546875" bestFit="1" customWidth="1"/>
    <col min="13" max="13" width="20.77734375" bestFit="1" customWidth="1"/>
    <col min="14" max="14" width="26.44140625" bestFit="1" customWidth="1"/>
  </cols>
  <sheetData>
    <row r="3" spans="1:14" x14ac:dyDescent="0.3">
      <c r="A3" s="24" t="s">
        <v>89</v>
      </c>
      <c r="B3" t="s">
        <v>91</v>
      </c>
      <c r="D3" s="24" t="s">
        <v>89</v>
      </c>
      <c r="E3" t="s">
        <v>91</v>
      </c>
      <c r="G3" s="24" t="s">
        <v>89</v>
      </c>
      <c r="H3" t="s">
        <v>93</v>
      </c>
      <c r="J3" s="24" t="s">
        <v>89</v>
      </c>
      <c r="K3" t="s">
        <v>94</v>
      </c>
      <c r="M3" s="24" t="s">
        <v>89</v>
      </c>
      <c r="N3" t="s">
        <v>91</v>
      </c>
    </row>
    <row r="4" spans="1:14" x14ac:dyDescent="0.3">
      <c r="A4" s="25" t="s">
        <v>17</v>
      </c>
      <c r="B4" s="26">
        <v>457</v>
      </c>
      <c r="D4" s="25" t="s">
        <v>26</v>
      </c>
      <c r="E4" s="26">
        <v>1433</v>
      </c>
      <c r="G4" s="25" t="s">
        <v>17</v>
      </c>
      <c r="H4" s="8">
        <v>198.98000000000002</v>
      </c>
      <c r="J4" s="25" t="s">
        <v>17</v>
      </c>
      <c r="K4" s="8">
        <v>609.27</v>
      </c>
      <c r="M4" s="25" t="s">
        <v>81</v>
      </c>
      <c r="N4">
        <v>39</v>
      </c>
    </row>
    <row r="5" spans="1:14" x14ac:dyDescent="0.3">
      <c r="A5" s="25" t="s">
        <v>11</v>
      </c>
      <c r="B5" s="26">
        <v>1654</v>
      </c>
      <c r="D5" s="25" t="s">
        <v>34</v>
      </c>
      <c r="E5" s="26">
        <v>1295</v>
      </c>
      <c r="G5" s="25" t="s">
        <v>11</v>
      </c>
      <c r="H5" s="8">
        <v>1385.1399999999999</v>
      </c>
      <c r="J5" s="25" t="s">
        <v>11</v>
      </c>
      <c r="K5" s="8">
        <v>3705.79</v>
      </c>
      <c r="M5" s="25" t="s">
        <v>82</v>
      </c>
      <c r="N5">
        <v>37</v>
      </c>
    </row>
    <row r="6" spans="1:14" x14ac:dyDescent="0.3">
      <c r="A6" s="25" t="s">
        <v>28</v>
      </c>
      <c r="B6" s="26">
        <v>577</v>
      </c>
      <c r="D6" s="25" t="s">
        <v>20</v>
      </c>
      <c r="E6" s="26">
        <v>1116</v>
      </c>
      <c r="G6" s="25" t="s">
        <v>28</v>
      </c>
      <c r="H6" s="8">
        <v>1315.37</v>
      </c>
      <c r="J6" s="25" t="s">
        <v>28</v>
      </c>
      <c r="K6" s="8">
        <v>3495.67</v>
      </c>
      <c r="M6" s="25" t="s">
        <v>83</v>
      </c>
      <c r="N6">
        <v>34</v>
      </c>
    </row>
    <row r="7" spans="1:14" x14ac:dyDescent="0.3">
      <c r="A7" s="25" t="s">
        <v>30</v>
      </c>
      <c r="B7" s="26">
        <v>616</v>
      </c>
      <c r="D7" s="25" t="s">
        <v>15</v>
      </c>
      <c r="E7" s="26">
        <v>1088</v>
      </c>
      <c r="G7" s="25" t="s">
        <v>30</v>
      </c>
      <c r="H7" s="8">
        <v>716.56000000000006</v>
      </c>
      <c r="J7" s="25" t="s">
        <v>30</v>
      </c>
      <c r="K7" s="8">
        <v>1989.88</v>
      </c>
      <c r="M7" s="25" t="s">
        <v>84</v>
      </c>
      <c r="N7">
        <v>27</v>
      </c>
    </row>
    <row r="8" spans="1:14" x14ac:dyDescent="0.3">
      <c r="A8" s="25" t="s">
        <v>41</v>
      </c>
      <c r="B8" s="26">
        <v>327</v>
      </c>
      <c r="D8" s="25" t="s">
        <v>49</v>
      </c>
      <c r="E8" s="26">
        <v>890</v>
      </c>
      <c r="G8" s="25" t="s">
        <v>41</v>
      </c>
      <c r="H8" s="8">
        <v>358.81</v>
      </c>
      <c r="J8" s="25" t="s">
        <v>41</v>
      </c>
      <c r="K8" s="8">
        <v>983.41999999999985</v>
      </c>
      <c r="M8" s="25" t="s">
        <v>85</v>
      </c>
      <c r="N8">
        <v>24</v>
      </c>
    </row>
    <row r="9" spans="1:14" x14ac:dyDescent="0.3">
      <c r="A9" s="25" t="s">
        <v>22</v>
      </c>
      <c r="B9" s="26">
        <v>458</v>
      </c>
      <c r="D9" s="25" t="s">
        <v>12</v>
      </c>
      <c r="E9" s="26">
        <v>809</v>
      </c>
      <c r="G9" s="25" t="s">
        <v>22</v>
      </c>
      <c r="H9" s="8">
        <v>502.43999999999994</v>
      </c>
      <c r="J9" s="25" t="s">
        <v>22</v>
      </c>
      <c r="K9" s="8">
        <v>1351.98</v>
      </c>
      <c r="M9" s="25" t="s">
        <v>90</v>
      </c>
      <c r="N9">
        <v>161</v>
      </c>
    </row>
    <row r="10" spans="1:14" x14ac:dyDescent="0.3">
      <c r="A10" s="25" t="s">
        <v>14</v>
      </c>
      <c r="B10" s="26">
        <v>953</v>
      </c>
      <c r="D10" s="25" t="s">
        <v>31</v>
      </c>
      <c r="E10" s="26">
        <v>787</v>
      </c>
      <c r="G10" s="25" t="s">
        <v>14</v>
      </c>
      <c r="H10" s="8">
        <v>1268.6899999999998</v>
      </c>
      <c r="J10" s="25" t="s">
        <v>14</v>
      </c>
      <c r="K10" s="8">
        <v>3207.6699999999996</v>
      </c>
    </row>
    <row r="11" spans="1:14" x14ac:dyDescent="0.3">
      <c r="A11" s="25" t="s">
        <v>46</v>
      </c>
      <c r="B11" s="26">
        <v>241</v>
      </c>
      <c r="D11" s="25" t="s">
        <v>90</v>
      </c>
      <c r="E11" s="26">
        <v>7418</v>
      </c>
      <c r="G11" s="25" t="s">
        <v>46</v>
      </c>
      <c r="H11" s="8">
        <v>67.48</v>
      </c>
      <c r="J11" s="25" t="s">
        <v>46</v>
      </c>
      <c r="K11" s="8">
        <v>161.47</v>
      </c>
    </row>
    <row r="12" spans="1:14" x14ac:dyDescent="0.3">
      <c r="A12" s="25" t="s">
        <v>24</v>
      </c>
      <c r="B12" s="26">
        <v>341</v>
      </c>
      <c r="G12" s="25" t="s">
        <v>24</v>
      </c>
      <c r="H12" s="8">
        <v>500.94000000000005</v>
      </c>
      <c r="J12" s="25" t="s">
        <v>24</v>
      </c>
      <c r="K12" s="8">
        <v>1358.17</v>
      </c>
      <c r="M12" s="24" t="s">
        <v>89</v>
      </c>
      <c r="N12" t="s">
        <v>92</v>
      </c>
    </row>
    <row r="13" spans="1:14" x14ac:dyDescent="0.3">
      <c r="A13" s="25" t="s">
        <v>43</v>
      </c>
      <c r="B13" s="26">
        <v>654</v>
      </c>
      <c r="G13" s="25" t="s">
        <v>43</v>
      </c>
      <c r="H13" s="8">
        <v>1132.75</v>
      </c>
      <c r="J13" s="25" t="s">
        <v>43</v>
      </c>
      <c r="K13" s="8">
        <v>3014.43</v>
      </c>
      <c r="M13" s="25" t="s">
        <v>86</v>
      </c>
      <c r="N13" s="53">
        <v>23</v>
      </c>
    </row>
    <row r="14" spans="1:14" x14ac:dyDescent="0.3">
      <c r="A14" s="25" t="s">
        <v>19</v>
      </c>
      <c r="B14" s="26">
        <v>318</v>
      </c>
      <c r="G14" s="25" t="s">
        <v>19</v>
      </c>
      <c r="H14" s="8">
        <v>227.54999999999995</v>
      </c>
      <c r="J14" s="25" t="s">
        <v>19</v>
      </c>
      <c r="K14" s="8">
        <v>674.79</v>
      </c>
      <c r="M14" s="25" t="s">
        <v>87</v>
      </c>
      <c r="N14" s="53">
        <v>7</v>
      </c>
    </row>
    <row r="15" spans="1:14" x14ac:dyDescent="0.3">
      <c r="A15" s="25" t="s">
        <v>36</v>
      </c>
      <c r="B15" s="26">
        <v>822</v>
      </c>
      <c r="G15" s="25" t="s">
        <v>36</v>
      </c>
      <c r="H15" s="8">
        <v>843.8499999999998</v>
      </c>
      <c r="J15" s="25" t="s">
        <v>36</v>
      </c>
      <c r="K15" s="8">
        <v>2327.73</v>
      </c>
      <c r="M15" s="25" t="s">
        <v>73</v>
      </c>
      <c r="N15" s="53">
        <v>0</v>
      </c>
    </row>
    <row r="16" spans="1:14" x14ac:dyDescent="0.3">
      <c r="A16" s="25" t="s">
        <v>90</v>
      </c>
      <c r="B16" s="26">
        <v>7418</v>
      </c>
      <c r="G16" s="25" t="s">
        <v>90</v>
      </c>
      <c r="H16" s="8">
        <v>8518.5599999999977</v>
      </c>
      <c r="J16" s="25" t="s">
        <v>90</v>
      </c>
      <c r="K16" s="8">
        <v>22880.27</v>
      </c>
      <c r="M16" s="25" t="s">
        <v>90</v>
      </c>
      <c r="N16" s="5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</vt:lpstr>
      <vt:lpstr>Inventory Sales</vt:lpstr>
      <vt:lpstr>Dashboard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Safi</dc:creator>
  <cp:lastModifiedBy>Issa Safi</cp:lastModifiedBy>
  <dcterms:created xsi:type="dcterms:W3CDTF">2026-10-01T12:30:26Z</dcterms:created>
  <dcterms:modified xsi:type="dcterms:W3CDTF">2026-10-08T11:52:02Z</dcterms:modified>
</cp:coreProperties>
</file>